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cdin\OneDrive\Documents\02_Advanced System Simulation and Modeling\ARENA\03_Call_Center\"/>
    </mc:Choice>
  </mc:AlternateContent>
  <xr:revisionPtr revIDLastSave="0" documentId="13_ncr:1_{9DA6792C-9FAA-4E63-AD76-CF02494424AB}" xr6:coauthVersionLast="47" xr6:coauthVersionMax="47" xr10:uidLastSave="{00000000-0000-0000-0000-000000000000}"/>
  <bookViews>
    <workbookView xWindow="-120" yWindow="-120" windowWidth="20730" windowHeight="1104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ContinuousTimeStatsByRep!$A$1:$L$27</definedName>
    <definedName name="ExternalData_1" localSheetId="4" hidden="1">CounterStatsByRep!$A$1:$G$4</definedName>
    <definedName name="ExternalData_1" localSheetId="2" hidden="1">DiscreteTimeStatsByRep!$A$1:$K$36</definedName>
    <definedName name="ExternalData_1" localSheetId="6" hidden="1">FrequencyStatsByRep!$A$1:$J$2</definedName>
    <definedName name="ExternalData_1" localSheetId="5" hidden="1">OutputStatsByRep!$A$1:$H$22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J2" i="20" a="1"/>
  <c r="J2" i="20"/>
  <c r="J3" i="20" a="1"/>
  <c r="J3" i="20"/>
  <c r="J4" i="20" a="1"/>
  <c r="J4" i="20"/>
  <c r="J5" i="20" a="1"/>
  <c r="J5" i="20"/>
  <c r="J6" i="20" a="1"/>
  <c r="J6" i="20"/>
  <c r="J7" i="20" a="1"/>
  <c r="J7" i="20"/>
  <c r="J8" i="20" a="1"/>
  <c r="J8" i="20"/>
  <c r="J9" i="20" a="1"/>
  <c r="J9" i="20"/>
  <c r="J10" i="20" a="1"/>
  <c r="J10" i="20"/>
  <c r="J11" i="20" a="1"/>
  <c r="J11" i="20"/>
  <c r="J12" i="20" a="1"/>
  <c r="J12" i="20"/>
  <c r="J13" i="20" a="1"/>
  <c r="J13" i="20"/>
  <c r="J14" i="20" a="1"/>
  <c r="J14" i="20"/>
  <c r="J15" i="20" a="1"/>
  <c r="J15" i="20"/>
  <c r="J16" i="20" a="1"/>
  <c r="J16" i="20"/>
  <c r="J17" i="20" a="1"/>
  <c r="J17" i="20"/>
  <c r="J18" i="20" a="1"/>
  <c r="J18" i="20"/>
  <c r="J19" i="20" a="1"/>
  <c r="J19" i="20"/>
  <c r="J20" i="20" a="1"/>
  <c r="J20" i="20"/>
  <c r="J21" i="20" a="1"/>
  <c r="J21" i="20"/>
  <c r="J22" i="20" a="1"/>
  <c r="J22" i="20"/>
  <c r="K2" i="20" a="1"/>
  <c r="K2" i="20"/>
  <c r="K3" i="20" a="1"/>
  <c r="K3" i="20"/>
  <c r="K4" i="20" a="1"/>
  <c r="K4" i="20"/>
  <c r="K5" i="20" a="1"/>
  <c r="K5" i="20"/>
  <c r="K6" i="20" a="1"/>
  <c r="K6" i="20"/>
  <c r="K7" i="20" a="1"/>
  <c r="K7" i="20"/>
  <c r="K8" i="20" a="1"/>
  <c r="K8" i="20"/>
  <c r="K9" i="20" a="1"/>
  <c r="K9" i="20"/>
  <c r="K10" i="20" a="1"/>
  <c r="K10" i="20"/>
  <c r="K11" i="20" a="1"/>
  <c r="K11" i="20"/>
  <c r="K12" i="20" a="1"/>
  <c r="K12" i="20"/>
  <c r="K13" i="20" a="1"/>
  <c r="K13" i="20"/>
  <c r="K14" i="20" a="1"/>
  <c r="K14" i="20"/>
  <c r="K15" i="20" a="1"/>
  <c r="K15" i="20"/>
  <c r="K16" i="20" a="1"/>
  <c r="K16" i="20"/>
  <c r="K17" i="20" a="1"/>
  <c r="K17" i="20"/>
  <c r="K18" i="20" a="1"/>
  <c r="K18" i="20"/>
  <c r="K19" i="20" a="1"/>
  <c r="K19" i="20"/>
  <c r="K20" i="20" a="1"/>
  <c r="K20" i="20"/>
  <c r="K21" i="20" a="1"/>
  <c r="K21" i="20"/>
  <c r="K22" i="20" a="1"/>
  <c r="K22" i="20"/>
  <c r="L2" i="20" a="1"/>
  <c r="L2" i="20"/>
  <c r="L3" i="20" a="1"/>
  <c r="L3" i="20"/>
  <c r="L4" i="20" a="1"/>
  <c r="L4" i="20"/>
  <c r="L5" i="20" a="1"/>
  <c r="L5" i="20"/>
  <c r="L6" i="20" a="1"/>
  <c r="L6" i="20"/>
  <c r="L7" i="20" a="1"/>
  <c r="L7" i="20"/>
  <c r="L8" i="20" a="1"/>
  <c r="L8" i="20"/>
  <c r="L9" i="20" a="1"/>
  <c r="L9" i="20"/>
  <c r="L10" i="20" a="1"/>
  <c r="L10" i="20"/>
  <c r="L11" i="20" a="1"/>
  <c r="L11" i="20"/>
  <c r="L12" i="20" a="1"/>
  <c r="L12" i="20"/>
  <c r="L13" i="20" a="1"/>
  <c r="L13" i="20"/>
  <c r="L14" i="20" a="1"/>
  <c r="L14" i="20"/>
  <c r="L15" i="20" a="1"/>
  <c r="L15" i="20"/>
  <c r="L16" i="20" a="1"/>
  <c r="L16" i="20"/>
  <c r="L17" i="20" a="1"/>
  <c r="L17" i="20"/>
  <c r="L18" i="20" a="1"/>
  <c r="L18" i="20"/>
  <c r="L19" i="20" a="1"/>
  <c r="L19" i="20"/>
  <c r="L20" i="20" a="1"/>
  <c r="L20" i="20"/>
  <c r="L21" i="20" a="1"/>
  <c r="L21" i="20"/>
  <c r="L22" i="20" a="1"/>
  <c r="L22" i="20"/>
  <c r="M2" i="20" a="1"/>
  <c r="M2" i="20"/>
  <c r="M3" i="20" a="1"/>
  <c r="M3" i="20"/>
  <c r="M4" i="20" a="1"/>
  <c r="M4" i="20"/>
  <c r="M5" i="20" a="1"/>
  <c r="M5" i="20"/>
  <c r="M6" i="20" a="1"/>
  <c r="M6" i="20"/>
  <c r="M7" i="20" a="1"/>
  <c r="M7" i="20"/>
  <c r="M8" i="20" a="1"/>
  <c r="M8" i="20"/>
  <c r="M9" i="20" a="1"/>
  <c r="M9" i="20"/>
  <c r="M10" i="20" a="1"/>
  <c r="M10" i="20"/>
  <c r="M11" i="20" a="1"/>
  <c r="M11" i="20"/>
  <c r="M12" i="20" a="1"/>
  <c r="M12" i="20"/>
  <c r="M13" i="20" a="1"/>
  <c r="M13" i="20"/>
  <c r="M14" i="20" a="1"/>
  <c r="M14" i="20"/>
  <c r="M15" i="20" a="1"/>
  <c r="M15" i="20"/>
  <c r="M16" i="20" a="1"/>
  <c r="M16" i="20"/>
  <c r="M17" i="20" a="1"/>
  <c r="M17" i="20"/>
  <c r="M18" i="20" a="1"/>
  <c r="M18" i="20"/>
  <c r="M19" i="20" a="1"/>
  <c r="M19" i="20"/>
  <c r="M20" i="20" a="1"/>
  <c r="M20" i="20"/>
  <c r="M21" i="20" a="1"/>
  <c r="M21" i="20"/>
  <c r="M22" i="20" a="1"/>
  <c r="M22" i="20"/>
  <c r="N2" i="20"/>
  <c r="N3" i="20"/>
  <c r="N4" i="20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O2" i="20" a="1"/>
  <c r="O2" i="20"/>
  <c r="O3" i="20" a="1"/>
  <c r="O3" i="20"/>
  <c r="O4" i="20" a="1"/>
  <c r="O4" i="20"/>
  <c r="O5" i="20" a="1"/>
  <c r="O5" i="20"/>
  <c r="O6" i="20" a="1"/>
  <c r="O6" i="20"/>
  <c r="O7" i="20" a="1"/>
  <c r="O7" i="20"/>
  <c r="O8" i="20" a="1"/>
  <c r="O8" i="20"/>
  <c r="O9" i="20" a="1"/>
  <c r="O9" i="20"/>
  <c r="O10" i="20" a="1"/>
  <c r="O10" i="20"/>
  <c r="O11" i="20" a="1"/>
  <c r="O11" i="20"/>
  <c r="O12" i="20" a="1"/>
  <c r="O12" i="20"/>
  <c r="O13" i="20" a="1"/>
  <c r="O13" i="20"/>
  <c r="O14" i="20" a="1"/>
  <c r="O14" i="20"/>
  <c r="O15" i="20" a="1"/>
  <c r="O15" i="20"/>
  <c r="O16" i="20" a="1"/>
  <c r="O16" i="20"/>
  <c r="O17" i="20" a="1"/>
  <c r="O17" i="20"/>
  <c r="O18" i="20" a="1"/>
  <c r="O18" i="20"/>
  <c r="O19" i="20" a="1"/>
  <c r="O19" i="20"/>
  <c r="O20" i="20" a="1"/>
  <c r="O20" i="20"/>
  <c r="O21" i="20" a="1"/>
  <c r="O21" i="20"/>
  <c r="O22" i="20" a="1"/>
  <c r="O22" i="20"/>
  <c r="P2" i="20" a="1"/>
  <c r="P2" i="20"/>
  <c r="P3" i="20" a="1"/>
  <c r="P3" i="20"/>
  <c r="P4" i="20" a="1"/>
  <c r="P4" i="20"/>
  <c r="P5" i="20" a="1"/>
  <c r="P5" i="20"/>
  <c r="P6" i="20" a="1"/>
  <c r="P6" i="20"/>
  <c r="P7" i="20" a="1"/>
  <c r="P7" i="20"/>
  <c r="P8" i="20" a="1"/>
  <c r="P8" i="20"/>
  <c r="P9" i="20" a="1"/>
  <c r="P9" i="20"/>
  <c r="P10" i="20" a="1"/>
  <c r="P10" i="20"/>
  <c r="P11" i="20" a="1"/>
  <c r="P11" i="20"/>
  <c r="P12" i="20" a="1"/>
  <c r="P12" i="20"/>
  <c r="P13" i="20" a="1"/>
  <c r="P13" i="20"/>
  <c r="P14" i="20" a="1"/>
  <c r="P14" i="20"/>
  <c r="P15" i="20" a="1"/>
  <c r="P15" i="20"/>
  <c r="P16" i="20" a="1"/>
  <c r="P16" i="20"/>
  <c r="P17" i="20" a="1"/>
  <c r="P17" i="20"/>
  <c r="P18" i="20" a="1"/>
  <c r="P18" i="20"/>
  <c r="P19" i="20" a="1"/>
  <c r="P19" i="20"/>
  <c r="P20" i="20" a="1"/>
  <c r="P20" i="20"/>
  <c r="P21" i="20" a="1"/>
  <c r="P21" i="20"/>
  <c r="P22" i="20" a="1"/>
  <c r="P22" i="20"/>
  <c r="H2" i="19"/>
  <c r="H3" i="19"/>
  <c r="H4" i="19"/>
  <c r="I2" i="19" a="1"/>
  <c r="I2" i="19"/>
  <c r="I3" i="19" a="1"/>
  <c r="I3" i="19"/>
  <c r="I4" i="19" a="1"/>
  <c r="I4" i="19"/>
  <c r="J2" i="19" a="1"/>
  <c r="J2" i="19"/>
  <c r="J3" i="19" a="1"/>
  <c r="J3" i="19"/>
  <c r="J4" i="19" a="1"/>
  <c r="J4" i="19"/>
  <c r="K2" i="19" a="1"/>
  <c r="K2" i="19"/>
  <c r="K3" i="19" a="1"/>
  <c r="K3" i="19"/>
  <c r="K4" i="19" a="1"/>
  <c r="K4" i="19"/>
  <c r="L2" i="19" a="1"/>
  <c r="L2" i="19"/>
  <c r="L3" i="19" a="1"/>
  <c r="L3" i="19"/>
  <c r="L4" i="19" a="1"/>
  <c r="L4" i="19"/>
  <c r="M2" i="19"/>
  <c r="M3" i="19"/>
  <c r="M4" i="19"/>
  <c r="N2" i="19" a="1"/>
  <c r="N2" i="19"/>
  <c r="N3" i="19" a="1"/>
  <c r="N3" i="19"/>
  <c r="N4" i="19" a="1"/>
  <c r="N4" i="19"/>
  <c r="O2" i="19" a="1"/>
  <c r="O2" i="19"/>
  <c r="O3" i="19" a="1"/>
  <c r="O3" i="19"/>
  <c r="O4" i="19" a="1"/>
  <c r="O4" i="19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N2" i="18" a="1"/>
  <c r="N2" i="18"/>
  <c r="N3" i="18" a="1"/>
  <c r="N3" i="18"/>
  <c r="N4" i="18" a="1"/>
  <c r="N4" i="18"/>
  <c r="N5" i="18" a="1"/>
  <c r="N5" i="18"/>
  <c r="N6" i="18" a="1"/>
  <c r="N6" i="18"/>
  <c r="N7" i="18" a="1"/>
  <c r="N7" i="18"/>
  <c r="N8" i="18" a="1"/>
  <c r="N8" i="18"/>
  <c r="N9" i="18" a="1"/>
  <c r="N9" i="18"/>
  <c r="N10" i="18" a="1"/>
  <c r="N10" i="18"/>
  <c r="N11" i="18" a="1"/>
  <c r="N11" i="18"/>
  <c r="N12" i="18" a="1"/>
  <c r="N12" i="18"/>
  <c r="N13" i="18" a="1"/>
  <c r="N13" i="18"/>
  <c r="N14" i="18" a="1"/>
  <c r="N14" i="18"/>
  <c r="N15" i="18" a="1"/>
  <c r="N15" i="18"/>
  <c r="N16" i="18" a="1"/>
  <c r="N16" i="18"/>
  <c r="N17" i="18" a="1"/>
  <c r="N17" i="18"/>
  <c r="N18" i="18" a="1"/>
  <c r="N18" i="18"/>
  <c r="N19" i="18" a="1"/>
  <c r="N19" i="18"/>
  <c r="N20" i="18" a="1"/>
  <c r="N20" i="18"/>
  <c r="N21" i="18" a="1"/>
  <c r="N21" i="18"/>
  <c r="N22" i="18" a="1"/>
  <c r="N22" i="18"/>
  <c r="N23" i="18" a="1"/>
  <c r="N23" i="18"/>
  <c r="N24" i="18" a="1"/>
  <c r="N24" i="18"/>
  <c r="N25" i="18" a="1"/>
  <c r="N25" i="18"/>
  <c r="N26" i="18" a="1"/>
  <c r="N26" i="18"/>
  <c r="N27" i="18" a="1"/>
  <c r="N27" i="18"/>
  <c r="O2" i="18" a="1"/>
  <c r="O2" i="18"/>
  <c r="O3" i="18" a="1"/>
  <c r="O3" i="18"/>
  <c r="O4" i="18" a="1"/>
  <c r="O4" i="18"/>
  <c r="O5" i="18" a="1"/>
  <c r="O5" i="18"/>
  <c r="O6" i="18" a="1"/>
  <c r="O6" i="18"/>
  <c r="O7" i="18" a="1"/>
  <c r="O7" i="18"/>
  <c r="O8" i="18" a="1"/>
  <c r="O8" i="18"/>
  <c r="O9" i="18" a="1"/>
  <c r="O9" i="18"/>
  <c r="O10" i="18" a="1"/>
  <c r="O10" i="18"/>
  <c r="O11" i="18" a="1"/>
  <c r="O11" i="18"/>
  <c r="O12" i="18" a="1"/>
  <c r="O12" i="18"/>
  <c r="O13" i="18" a="1"/>
  <c r="O13" i="18"/>
  <c r="O14" i="18" a="1"/>
  <c r="O14" i="18"/>
  <c r="O15" i="18" a="1"/>
  <c r="O15" i="18"/>
  <c r="O16" i="18" a="1"/>
  <c r="O16" i="18"/>
  <c r="O17" i="18" a="1"/>
  <c r="O17" i="18"/>
  <c r="O18" i="18" a="1"/>
  <c r="O18" i="18"/>
  <c r="O19" i="18" a="1"/>
  <c r="O19" i="18"/>
  <c r="O20" i="18" a="1"/>
  <c r="O20" i="18"/>
  <c r="O21" i="18" a="1"/>
  <c r="O21" i="18"/>
  <c r="O22" i="18" a="1"/>
  <c r="O22" i="18"/>
  <c r="O23" i="18" a="1"/>
  <c r="O23" i="18"/>
  <c r="O24" i="18" a="1"/>
  <c r="O24" i="18"/>
  <c r="O25" i="18" a="1"/>
  <c r="O25" i="18"/>
  <c r="O26" i="18" a="1"/>
  <c r="O26" i="18"/>
  <c r="O27" i="18" a="1"/>
  <c r="O27" i="18"/>
  <c r="P2" i="18" a="1"/>
  <c r="P2" i="18"/>
  <c r="P3" i="18" a="1"/>
  <c r="P3" i="18"/>
  <c r="P4" i="18" a="1"/>
  <c r="P4" i="18"/>
  <c r="P5" i="18" a="1"/>
  <c r="P5" i="18"/>
  <c r="P6" i="18" a="1"/>
  <c r="P6" i="18"/>
  <c r="P7" i="18" a="1"/>
  <c r="P7" i="18"/>
  <c r="P8" i="18" a="1"/>
  <c r="P8" i="18"/>
  <c r="P9" i="18" a="1"/>
  <c r="P9" i="18"/>
  <c r="P10" i="18" a="1"/>
  <c r="P10" i="18"/>
  <c r="P11" i="18" a="1"/>
  <c r="P11" i="18"/>
  <c r="P12" i="18" a="1"/>
  <c r="P12" i="18"/>
  <c r="P13" i="18" a="1"/>
  <c r="P13" i="18"/>
  <c r="P14" i="18" a="1"/>
  <c r="P14" i="18"/>
  <c r="P15" i="18" a="1"/>
  <c r="P15" i="18"/>
  <c r="P16" i="18" a="1"/>
  <c r="P16" i="18"/>
  <c r="P17" i="18" a="1"/>
  <c r="P17" i="18"/>
  <c r="P18" i="18" a="1"/>
  <c r="P18" i="18"/>
  <c r="P19" i="18" a="1"/>
  <c r="P19" i="18"/>
  <c r="P20" i="18" a="1"/>
  <c r="P20" i="18"/>
  <c r="P21" i="18" a="1"/>
  <c r="P21" i="18"/>
  <c r="P22" i="18" a="1"/>
  <c r="P22" i="18"/>
  <c r="P23" i="18" a="1"/>
  <c r="P23" i="18"/>
  <c r="P24" i="18" a="1"/>
  <c r="P24" i="18"/>
  <c r="P25" i="18" a="1"/>
  <c r="P25" i="18"/>
  <c r="P26" i="18" a="1"/>
  <c r="P26" i="18"/>
  <c r="P27" i="18" a="1"/>
  <c r="P27" i="18"/>
  <c r="Q2" i="18" a="1"/>
  <c r="Q2" i="18"/>
  <c r="Q3" i="18" a="1"/>
  <c r="Q3" i="18"/>
  <c r="Q4" i="18" a="1"/>
  <c r="Q4" i="18"/>
  <c r="Q5" i="18" a="1"/>
  <c r="Q5" i="18"/>
  <c r="Q6" i="18" a="1"/>
  <c r="Q6" i="18"/>
  <c r="Q7" i="18" a="1"/>
  <c r="Q7" i="18"/>
  <c r="Q8" i="18" a="1"/>
  <c r="Q8" i="18"/>
  <c r="Q9" i="18" a="1"/>
  <c r="Q9" i="18"/>
  <c r="Q10" i="18" a="1"/>
  <c r="Q10" i="18"/>
  <c r="Q11" i="18" a="1"/>
  <c r="Q11" i="18"/>
  <c r="Q12" i="18" a="1"/>
  <c r="Q12" i="18"/>
  <c r="Q13" i="18" a="1"/>
  <c r="Q13" i="18"/>
  <c r="Q14" i="18" a="1"/>
  <c r="Q14" i="18"/>
  <c r="Q15" i="18" a="1"/>
  <c r="Q15" i="18"/>
  <c r="Q16" i="18" a="1"/>
  <c r="Q16" i="18"/>
  <c r="Q17" i="18" a="1"/>
  <c r="Q17" i="18"/>
  <c r="Q18" i="18" a="1"/>
  <c r="Q18" i="18"/>
  <c r="Q19" i="18" a="1"/>
  <c r="Q19" i="18"/>
  <c r="Q20" i="18" a="1"/>
  <c r="Q20" i="18"/>
  <c r="Q21" i="18" a="1"/>
  <c r="Q21" i="18"/>
  <c r="Q22" i="18" a="1"/>
  <c r="Q22" i="18"/>
  <c r="Q23" i="18" a="1"/>
  <c r="Q23" i="18"/>
  <c r="Q24" i="18" a="1"/>
  <c r="Q24" i="18"/>
  <c r="Q25" i="18" a="1"/>
  <c r="Q25" i="18"/>
  <c r="Q26" i="18" a="1"/>
  <c r="Q26" i="18"/>
  <c r="Q27" i="18" a="1"/>
  <c r="Q27" i="18"/>
  <c r="R2" i="18"/>
  <c r="R3" i="18"/>
  <c r="R4" i="18"/>
  <c r="R5" i="18"/>
  <c r="R6" i="18"/>
  <c r="R7" i="18"/>
  <c r="R8" i="18"/>
  <c r="R9" i="18"/>
  <c r="R10" i="18"/>
  <c r="R11" i="18"/>
  <c r="R12" i="18"/>
  <c r="R13" i="18"/>
  <c r="R14" i="18"/>
  <c r="R15" i="18"/>
  <c r="R16" i="18"/>
  <c r="R17" i="18"/>
  <c r="R18" i="18"/>
  <c r="R19" i="18"/>
  <c r="R20" i="18"/>
  <c r="R21" i="18"/>
  <c r="R22" i="18"/>
  <c r="R23" i="18"/>
  <c r="R24" i="18"/>
  <c r="R25" i="18"/>
  <c r="R26" i="18"/>
  <c r="R27" i="18"/>
  <c r="S2" i="18" a="1"/>
  <c r="S2" i="18"/>
  <c r="S3" i="18" a="1"/>
  <c r="S3" i="18"/>
  <c r="S4" i="18" a="1"/>
  <c r="S4" i="18"/>
  <c r="S5" i="18" a="1"/>
  <c r="S5" i="18"/>
  <c r="S6" i="18" a="1"/>
  <c r="S6" i="18"/>
  <c r="S7" i="18" a="1"/>
  <c r="S7" i="18"/>
  <c r="S8" i="18" a="1"/>
  <c r="S8" i="18"/>
  <c r="S9" i="18" a="1"/>
  <c r="S9" i="18"/>
  <c r="S10" i="18" a="1"/>
  <c r="S10" i="18"/>
  <c r="S11" i="18" a="1"/>
  <c r="S11" i="18"/>
  <c r="S12" i="18" a="1"/>
  <c r="S12" i="18"/>
  <c r="S13" i="18" a="1"/>
  <c r="S13" i="18"/>
  <c r="S14" i="18" a="1"/>
  <c r="S14" i="18"/>
  <c r="S15" i="18" a="1"/>
  <c r="S15" i="18"/>
  <c r="S16" i="18" a="1"/>
  <c r="S16" i="18"/>
  <c r="S17" i="18" a="1"/>
  <c r="S17" i="18"/>
  <c r="S18" i="18" a="1"/>
  <c r="S18" i="18"/>
  <c r="S19" i="18" a="1"/>
  <c r="S19" i="18"/>
  <c r="S20" i="18" a="1"/>
  <c r="S20" i="18"/>
  <c r="S21" i="18" a="1"/>
  <c r="S21" i="18"/>
  <c r="S22" i="18" a="1"/>
  <c r="S22" i="18"/>
  <c r="S23" i="18" a="1"/>
  <c r="S23" i="18"/>
  <c r="S24" i="18" a="1"/>
  <c r="S24" i="18"/>
  <c r="S25" i="18" a="1"/>
  <c r="S25" i="18"/>
  <c r="S26" i="18" a="1"/>
  <c r="S26" i="18"/>
  <c r="S27" i="18" a="1"/>
  <c r="S27" i="18"/>
  <c r="T2" i="18" a="1"/>
  <c r="T2" i="18"/>
  <c r="T3" i="18" a="1"/>
  <c r="T3" i="18"/>
  <c r="T4" i="18" a="1"/>
  <c r="T4" i="18"/>
  <c r="T5" i="18" a="1"/>
  <c r="T5" i="18"/>
  <c r="T6" i="18" a="1"/>
  <c r="T6" i="18"/>
  <c r="T7" i="18" a="1"/>
  <c r="T7" i="18"/>
  <c r="T8" i="18" a="1"/>
  <c r="T8" i="18"/>
  <c r="T9" i="18" a="1"/>
  <c r="T9" i="18"/>
  <c r="T10" i="18" a="1"/>
  <c r="T10" i="18"/>
  <c r="T11" i="18" a="1"/>
  <c r="T11" i="18"/>
  <c r="T12" i="18" a="1"/>
  <c r="T12" i="18"/>
  <c r="T13" i="18" a="1"/>
  <c r="T13" i="18"/>
  <c r="T14" i="18" a="1"/>
  <c r="T14" i="18"/>
  <c r="T15" i="18" a="1"/>
  <c r="T15" i="18"/>
  <c r="T16" i="18" a="1"/>
  <c r="T16" i="18"/>
  <c r="T17" i="18" a="1"/>
  <c r="T17" i="18"/>
  <c r="T18" i="18" a="1"/>
  <c r="T18" i="18"/>
  <c r="T19" i="18" a="1"/>
  <c r="T19" i="18"/>
  <c r="T20" i="18" a="1"/>
  <c r="T20" i="18"/>
  <c r="T21" i="18" a="1"/>
  <c r="T21" i="18"/>
  <c r="T22" i="18" a="1"/>
  <c r="T22" i="18"/>
  <c r="T23" i="18" a="1"/>
  <c r="T23" i="18"/>
  <c r="T24" i="18" a="1"/>
  <c r="T24" i="18"/>
  <c r="T25" i="18" a="1"/>
  <c r="T25" i="18"/>
  <c r="T26" i="18" a="1"/>
  <c r="T26" i="18"/>
  <c r="T27" i="18" a="1"/>
  <c r="T27" i="18"/>
  <c r="U2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L2" i="17"/>
  <c r="L3" i="17"/>
  <c r="L4" i="17"/>
  <c r="L5" i="17"/>
  <c r="L6" i="17"/>
  <c r="L7" i="17"/>
  <c r="L8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M2" i="17" a="1"/>
  <c r="M2" i="17"/>
  <c r="M3" i="17" a="1"/>
  <c r="M3" i="17"/>
  <c r="M4" i="17" a="1"/>
  <c r="M4" i="17"/>
  <c r="M5" i="17" a="1"/>
  <c r="M5" i="17"/>
  <c r="M6" i="17" a="1"/>
  <c r="M6" i="17"/>
  <c r="M7" i="17" a="1"/>
  <c r="M7" i="17"/>
  <c r="M8" i="17" a="1"/>
  <c r="M8" i="17"/>
  <c r="M9" i="17" a="1"/>
  <c r="M9" i="17"/>
  <c r="M10" i="17" a="1"/>
  <c r="M10" i="17"/>
  <c r="M11" i="17" a="1"/>
  <c r="M11" i="17"/>
  <c r="M12" i="17" a="1"/>
  <c r="M12" i="17"/>
  <c r="M13" i="17" a="1"/>
  <c r="M13" i="17"/>
  <c r="M14" i="17" a="1"/>
  <c r="M14" i="17"/>
  <c r="M15" i="17" a="1"/>
  <c r="M15" i="17"/>
  <c r="M16" i="17" a="1"/>
  <c r="M16" i="17"/>
  <c r="M17" i="17" a="1"/>
  <c r="M17" i="17"/>
  <c r="M18" i="17" a="1"/>
  <c r="M18" i="17"/>
  <c r="M19" i="17" a="1"/>
  <c r="M19" i="17"/>
  <c r="M20" i="17" a="1"/>
  <c r="M20" i="17"/>
  <c r="M21" i="17" a="1"/>
  <c r="M21" i="17"/>
  <c r="M22" i="17" a="1"/>
  <c r="M22" i="17"/>
  <c r="M23" i="17" a="1"/>
  <c r="M23" i="17"/>
  <c r="M24" i="17" a="1"/>
  <c r="M24" i="17"/>
  <c r="M25" i="17" a="1"/>
  <c r="M25" i="17"/>
  <c r="M26" i="17" a="1"/>
  <c r="M26" i="17"/>
  <c r="M27" i="17" a="1"/>
  <c r="M27" i="17"/>
  <c r="M28" i="17" a="1"/>
  <c r="M28" i="17"/>
  <c r="M29" i="17" a="1"/>
  <c r="M29" i="17"/>
  <c r="M30" i="17" a="1"/>
  <c r="M30" i="17"/>
  <c r="M31" i="17" a="1"/>
  <c r="M31" i="17"/>
  <c r="M32" i="17" a="1"/>
  <c r="M32" i="17"/>
  <c r="M33" i="17" a="1"/>
  <c r="M33" i="17"/>
  <c r="M34" i="17" a="1"/>
  <c r="M34" i="17"/>
  <c r="M35" i="17" a="1"/>
  <c r="M35" i="17"/>
  <c r="M36" i="17" a="1"/>
  <c r="M36" i="17"/>
  <c r="N2" i="17" a="1"/>
  <c r="N2" i="17"/>
  <c r="N3" i="17" a="1"/>
  <c r="N3" i="17"/>
  <c r="N4" i="17" a="1"/>
  <c r="N4" i="17"/>
  <c r="N5" i="17" a="1"/>
  <c r="N5" i="17"/>
  <c r="N6" i="17" a="1"/>
  <c r="N6" i="17"/>
  <c r="N7" i="17" a="1"/>
  <c r="N7" i="17"/>
  <c r="N8" i="17" a="1"/>
  <c r="N8" i="17"/>
  <c r="N9" i="17" a="1"/>
  <c r="N9" i="17"/>
  <c r="N10" i="17" a="1"/>
  <c r="N10" i="17"/>
  <c r="N11" i="17" a="1"/>
  <c r="N11" i="17"/>
  <c r="N12" i="17" a="1"/>
  <c r="N12" i="17"/>
  <c r="N13" i="17" a="1"/>
  <c r="N13" i="17"/>
  <c r="N14" i="17" a="1"/>
  <c r="N14" i="17"/>
  <c r="N15" i="17" a="1"/>
  <c r="N15" i="17"/>
  <c r="N16" i="17" a="1"/>
  <c r="N16" i="17"/>
  <c r="N17" i="17" a="1"/>
  <c r="N17" i="17"/>
  <c r="N18" i="17" a="1"/>
  <c r="N18" i="17"/>
  <c r="N19" i="17" a="1"/>
  <c r="N19" i="17"/>
  <c r="N20" i="17" a="1"/>
  <c r="N20" i="17"/>
  <c r="N21" i="17" a="1"/>
  <c r="N21" i="17"/>
  <c r="N22" i="17" a="1"/>
  <c r="N22" i="17"/>
  <c r="N23" i="17" a="1"/>
  <c r="N23" i="17"/>
  <c r="N24" i="17" a="1"/>
  <c r="N24" i="17"/>
  <c r="N25" i="17" a="1"/>
  <c r="N25" i="17"/>
  <c r="N26" i="17" a="1"/>
  <c r="N26" i="17"/>
  <c r="N27" i="17" a="1"/>
  <c r="N27" i="17"/>
  <c r="N28" i="17" a="1"/>
  <c r="N28" i="17"/>
  <c r="N29" i="17" a="1"/>
  <c r="N29" i="17"/>
  <c r="N30" i="17" a="1"/>
  <c r="N30" i="17"/>
  <c r="N31" i="17" a="1"/>
  <c r="N31" i="17"/>
  <c r="N32" i="17" a="1"/>
  <c r="N32" i="17"/>
  <c r="N33" i="17" a="1"/>
  <c r="N33" i="17"/>
  <c r="N34" i="17" a="1"/>
  <c r="N34" i="17"/>
  <c r="N35" i="17" a="1"/>
  <c r="N35" i="17"/>
  <c r="N36" i="17" a="1"/>
  <c r="N36" i="17"/>
  <c r="O2" i="17" a="1"/>
  <c r="O2" i="17"/>
  <c r="O3" i="17" a="1"/>
  <c r="O3" i="17"/>
  <c r="O4" i="17" a="1"/>
  <c r="O4" i="17"/>
  <c r="O5" i="17" a="1"/>
  <c r="O5" i="17"/>
  <c r="O6" i="17" a="1"/>
  <c r="O6" i="17"/>
  <c r="O7" i="17" a="1"/>
  <c r="O7" i="17"/>
  <c r="O8" i="17" a="1"/>
  <c r="O8" i="17"/>
  <c r="O9" i="17" a="1"/>
  <c r="O9" i="17"/>
  <c r="O10" i="17" a="1"/>
  <c r="O10" i="17"/>
  <c r="O11" i="17" a="1"/>
  <c r="O11" i="17"/>
  <c r="O12" i="17" a="1"/>
  <c r="O12" i="17"/>
  <c r="O13" i="17" a="1"/>
  <c r="O13" i="17"/>
  <c r="O14" i="17" a="1"/>
  <c r="O14" i="17"/>
  <c r="O15" i="17" a="1"/>
  <c r="O15" i="17"/>
  <c r="O16" i="17" a="1"/>
  <c r="O16" i="17"/>
  <c r="O17" i="17" a="1"/>
  <c r="O17" i="17"/>
  <c r="O18" i="17" a="1"/>
  <c r="O18" i="17"/>
  <c r="O19" i="17" a="1"/>
  <c r="O19" i="17"/>
  <c r="O20" i="17" a="1"/>
  <c r="O20" i="17"/>
  <c r="O21" i="17" a="1"/>
  <c r="O21" i="17"/>
  <c r="O22" i="17" a="1"/>
  <c r="O22" i="17"/>
  <c r="O23" i="17" a="1"/>
  <c r="O23" i="17"/>
  <c r="O24" i="17" a="1"/>
  <c r="O24" i="17"/>
  <c r="O25" i="17" a="1"/>
  <c r="O25" i="17"/>
  <c r="O26" i="17" a="1"/>
  <c r="O26" i="17"/>
  <c r="O27" i="17" a="1"/>
  <c r="O27" i="17"/>
  <c r="O28" i="17" a="1"/>
  <c r="O28" i="17"/>
  <c r="O29" i="17" a="1"/>
  <c r="O29" i="17"/>
  <c r="O30" i="17" a="1"/>
  <c r="O30" i="17"/>
  <c r="O31" i="17" a="1"/>
  <c r="O31" i="17"/>
  <c r="O32" i="17" a="1"/>
  <c r="O32" i="17"/>
  <c r="O33" i="17" a="1"/>
  <c r="O33" i="17"/>
  <c r="O34" i="17" a="1"/>
  <c r="O34" i="17"/>
  <c r="O35" i="17" a="1"/>
  <c r="O35" i="17"/>
  <c r="O36" i="17" a="1"/>
  <c r="O36" i="17"/>
  <c r="P2" i="17" a="1"/>
  <c r="P2" i="17"/>
  <c r="P3" i="17" a="1"/>
  <c r="P3" i="17"/>
  <c r="P4" i="17" a="1"/>
  <c r="P4" i="17"/>
  <c r="P5" i="17" a="1"/>
  <c r="P5" i="17"/>
  <c r="P6" i="17" a="1"/>
  <c r="P6" i="17"/>
  <c r="P7" i="17" a="1"/>
  <c r="P7" i="17"/>
  <c r="P8" i="17" a="1"/>
  <c r="P8" i="17"/>
  <c r="P9" i="17" a="1"/>
  <c r="P9" i="17"/>
  <c r="P10" i="17" a="1"/>
  <c r="P10" i="17"/>
  <c r="P11" i="17" a="1"/>
  <c r="P11" i="17"/>
  <c r="P12" i="17" a="1"/>
  <c r="P12" i="17"/>
  <c r="P13" i="17" a="1"/>
  <c r="P13" i="17"/>
  <c r="P14" i="17" a="1"/>
  <c r="P14" i="17"/>
  <c r="P15" i="17" a="1"/>
  <c r="P15" i="17"/>
  <c r="P16" i="17" a="1"/>
  <c r="P16" i="17"/>
  <c r="P17" i="17" a="1"/>
  <c r="P17" i="17"/>
  <c r="P18" i="17" a="1"/>
  <c r="P18" i="17"/>
  <c r="P19" i="17" a="1"/>
  <c r="P19" i="17"/>
  <c r="P20" i="17" a="1"/>
  <c r="P20" i="17"/>
  <c r="P21" i="17" a="1"/>
  <c r="P21" i="17"/>
  <c r="P22" i="17" a="1"/>
  <c r="P22" i="17"/>
  <c r="P23" i="17" a="1"/>
  <c r="P23" i="17"/>
  <c r="P24" i="17" a="1"/>
  <c r="P24" i="17"/>
  <c r="P25" i="17" a="1"/>
  <c r="P25" i="17"/>
  <c r="P26" i="17" a="1"/>
  <c r="P26" i="17"/>
  <c r="P27" i="17" a="1"/>
  <c r="P27" i="17"/>
  <c r="P28" i="17" a="1"/>
  <c r="P28" i="17"/>
  <c r="P29" i="17" a="1"/>
  <c r="P29" i="17"/>
  <c r="P30" i="17" a="1"/>
  <c r="P30" i="17"/>
  <c r="P31" i="17" a="1"/>
  <c r="P31" i="17"/>
  <c r="P32" i="17" a="1"/>
  <c r="P32" i="17"/>
  <c r="P33" i="17" a="1"/>
  <c r="P33" i="17"/>
  <c r="P34" i="17" a="1"/>
  <c r="P34" i="17"/>
  <c r="P35" i="17" a="1"/>
  <c r="P35" i="17"/>
  <c r="P36" i="17" a="1"/>
  <c r="P36" i="17"/>
  <c r="R2" i="17" a="1"/>
  <c r="R2" i="17"/>
  <c r="R3" i="17" a="1"/>
  <c r="R3" i="17"/>
  <c r="R4" i="17" a="1"/>
  <c r="R4" i="17"/>
  <c r="R5" i="17" a="1"/>
  <c r="R5" i="17"/>
  <c r="R6" i="17" a="1"/>
  <c r="R6" i="17"/>
  <c r="R7" i="17" a="1"/>
  <c r="R7" i="17"/>
  <c r="R8" i="17" a="1"/>
  <c r="R8" i="17"/>
  <c r="R9" i="17" a="1"/>
  <c r="R9" i="17"/>
  <c r="R10" i="17" a="1"/>
  <c r="R10" i="17"/>
  <c r="R11" i="17" a="1"/>
  <c r="R11" i="17"/>
  <c r="R12" i="17" a="1"/>
  <c r="R12" i="17"/>
  <c r="R13" i="17" a="1"/>
  <c r="R13" i="17"/>
  <c r="R14" i="17" a="1"/>
  <c r="R14" i="17"/>
  <c r="R15" i="17" a="1"/>
  <c r="R15" i="17"/>
  <c r="R16" i="17" a="1"/>
  <c r="R16" i="17"/>
  <c r="R17" i="17" a="1"/>
  <c r="R17" i="17"/>
  <c r="R18" i="17" a="1"/>
  <c r="R18" i="17"/>
  <c r="R19" i="17" a="1"/>
  <c r="R19" i="17"/>
  <c r="R20" i="17" a="1"/>
  <c r="R20" i="17"/>
  <c r="R21" i="17" a="1"/>
  <c r="R21" i="17"/>
  <c r="R22" i="17" a="1"/>
  <c r="R22" i="17"/>
  <c r="R23" i="17" a="1"/>
  <c r="R23" i="17"/>
  <c r="R24" i="17" a="1"/>
  <c r="R24" i="17"/>
  <c r="R25" i="17" a="1"/>
  <c r="R25" i="17"/>
  <c r="R26" i="17" a="1"/>
  <c r="R26" i="17"/>
  <c r="R27" i="17" a="1"/>
  <c r="R27" i="17"/>
  <c r="R28" i="17" a="1"/>
  <c r="R28" i="17"/>
  <c r="R29" i="17" a="1"/>
  <c r="R29" i="17"/>
  <c r="R30" i="17" a="1"/>
  <c r="R30" i="17"/>
  <c r="R31" i="17" a="1"/>
  <c r="R31" i="17"/>
  <c r="R32" i="17" a="1"/>
  <c r="R32" i="17"/>
  <c r="R33" i="17" a="1"/>
  <c r="R33" i="17"/>
  <c r="R34" i="17" a="1"/>
  <c r="R34" i="17"/>
  <c r="R35" i="17" a="1"/>
  <c r="R35" i="17"/>
  <c r="R36" i="17" a="1"/>
  <c r="R36" i="17"/>
  <c r="S2" i="17" a="1"/>
  <c r="S2" i="17"/>
  <c r="S3" i="17" a="1"/>
  <c r="S3" i="17"/>
  <c r="S4" i="17" a="1"/>
  <c r="S4" i="17"/>
  <c r="S5" i="17" a="1"/>
  <c r="S5" i="17"/>
  <c r="S6" i="17" a="1"/>
  <c r="S6" i="17"/>
  <c r="S7" i="17" a="1"/>
  <c r="S7" i="17"/>
  <c r="S8" i="17" a="1"/>
  <c r="S8" i="17"/>
  <c r="S9" i="17" a="1"/>
  <c r="S9" i="17"/>
  <c r="S10" i="17" a="1"/>
  <c r="S10" i="17"/>
  <c r="S11" i="17" a="1"/>
  <c r="S11" i="17"/>
  <c r="S12" i="17" a="1"/>
  <c r="S12" i="17"/>
  <c r="S13" i="17" a="1"/>
  <c r="S13" i="17"/>
  <c r="S14" i="17" a="1"/>
  <c r="S14" i="17"/>
  <c r="S15" i="17" a="1"/>
  <c r="S15" i="17"/>
  <c r="S16" i="17" a="1"/>
  <c r="S16" i="17"/>
  <c r="S17" i="17" a="1"/>
  <c r="S17" i="17"/>
  <c r="S18" i="17" a="1"/>
  <c r="S18" i="17"/>
  <c r="S19" i="17" a="1"/>
  <c r="S19" i="17"/>
  <c r="S20" i="17" a="1"/>
  <c r="S20" i="17"/>
  <c r="S21" i="17" a="1"/>
  <c r="S21" i="17"/>
  <c r="S22" i="17" a="1"/>
  <c r="S22" i="17"/>
  <c r="S23" i="17" a="1"/>
  <c r="S23" i="17"/>
  <c r="S24" i="17" a="1"/>
  <c r="S24" i="17"/>
  <c r="S25" i="17" a="1"/>
  <c r="S25" i="17"/>
  <c r="S26" i="17" a="1"/>
  <c r="S26" i="17"/>
  <c r="S27" i="17" a="1"/>
  <c r="S27" i="17"/>
  <c r="S28" i="17" a="1"/>
  <c r="S28" i="17"/>
  <c r="S29" i="17" a="1"/>
  <c r="S29" i="17"/>
  <c r="S30" i="17" a="1"/>
  <c r="S30" i="17"/>
  <c r="S31" i="17" a="1"/>
  <c r="S31" i="17"/>
  <c r="S32" i="17" a="1"/>
  <c r="S32" i="17"/>
  <c r="S33" i="17" a="1"/>
  <c r="S33" i="17"/>
  <c r="S34" i="17" a="1"/>
  <c r="S34" i="17"/>
  <c r="S35" i="17" a="1"/>
  <c r="S35" i="17"/>
  <c r="S36" i="17" a="1"/>
  <c r="S36" i="17"/>
  <c r="T2" i="17" a="1"/>
  <c r="T2" i="17"/>
  <c r="T3" i="17" a="1"/>
  <c r="T3" i="17"/>
  <c r="T4" i="17" a="1"/>
  <c r="T4" i="17"/>
  <c r="T5" i="17" a="1"/>
  <c r="T5" i="17"/>
  <c r="T6" i="17" a="1"/>
  <c r="T6" i="17"/>
  <c r="T7" i="17" a="1"/>
  <c r="T7" i="17"/>
  <c r="T8" i="17" a="1"/>
  <c r="T8" i="17"/>
  <c r="T9" i="17" a="1"/>
  <c r="T9" i="17"/>
  <c r="T10" i="17" a="1"/>
  <c r="T10" i="17"/>
  <c r="T11" i="17" a="1"/>
  <c r="T11" i="17"/>
  <c r="T12" i="17" a="1"/>
  <c r="T12" i="17"/>
  <c r="T13" i="17" a="1"/>
  <c r="T13" i="17"/>
  <c r="T14" i="17" a="1"/>
  <c r="T14" i="17"/>
  <c r="T15" i="17" a="1"/>
  <c r="T15" i="17"/>
  <c r="T16" i="17" a="1"/>
  <c r="T16" i="17"/>
  <c r="T17" i="17" a="1"/>
  <c r="T17" i="17"/>
  <c r="T18" i="17" a="1"/>
  <c r="T18" i="17"/>
  <c r="T19" i="17" a="1"/>
  <c r="T19" i="17"/>
  <c r="T20" i="17" a="1"/>
  <c r="T20" i="17"/>
  <c r="T21" i="17" a="1"/>
  <c r="T21" i="17"/>
  <c r="T22" i="17" a="1"/>
  <c r="T22" i="17"/>
  <c r="T23" i="17" a="1"/>
  <c r="T23" i="17"/>
  <c r="T24" i="17" a="1"/>
  <c r="T24" i="17"/>
  <c r="T25" i="17" a="1"/>
  <c r="T25" i="17"/>
  <c r="T26" i="17" a="1"/>
  <c r="T26" i="17"/>
  <c r="T27" i="17" a="1"/>
  <c r="T27" i="17"/>
  <c r="T28" i="17" a="1"/>
  <c r="T28" i="17"/>
  <c r="T29" i="17" a="1"/>
  <c r="T29" i="17"/>
  <c r="T30" i="17" a="1"/>
  <c r="T30" i="17"/>
  <c r="T31" i="17" a="1"/>
  <c r="T31" i="17"/>
  <c r="T32" i="17" a="1"/>
  <c r="T32" i="17"/>
  <c r="T33" i="17" a="1"/>
  <c r="T33" i="17"/>
  <c r="T34" i="17" a="1"/>
  <c r="T34" i="17"/>
  <c r="T35" i="17" a="1"/>
  <c r="T35" i="17"/>
  <c r="T36" i="17" a="1"/>
  <c r="T36" i="17"/>
  <c r="U2" i="17" a="1"/>
  <c r="U2" i="17"/>
  <c r="U3" i="17" a="1"/>
  <c r="U3" i="17"/>
  <c r="U4" i="17" a="1"/>
  <c r="U4" i="17"/>
  <c r="U5" i="17" a="1"/>
  <c r="U5" i="17"/>
  <c r="U6" i="17" a="1"/>
  <c r="U6" i="17"/>
  <c r="U7" i="17" a="1"/>
  <c r="U7" i="17"/>
  <c r="U8" i="17" a="1"/>
  <c r="U8" i="17"/>
  <c r="U9" i="17" a="1"/>
  <c r="U9" i="17"/>
  <c r="U10" i="17" a="1"/>
  <c r="U10" i="17"/>
  <c r="U11" i="17" a="1"/>
  <c r="U11" i="17"/>
  <c r="U12" i="17" a="1"/>
  <c r="U12" i="17"/>
  <c r="U13" i="17" a="1"/>
  <c r="U13" i="17"/>
  <c r="U14" i="17" a="1"/>
  <c r="U14" i="17"/>
  <c r="U15" i="17" a="1"/>
  <c r="U15" i="17"/>
  <c r="U16" i="17" a="1"/>
  <c r="U16" i="17"/>
  <c r="U17" i="17" a="1"/>
  <c r="U17" i="17"/>
  <c r="U18" i="17" a="1"/>
  <c r="U18" i="17"/>
  <c r="U19" i="17" a="1"/>
  <c r="U19" i="17"/>
  <c r="U20" i="17" a="1"/>
  <c r="U20" i="17"/>
  <c r="U21" i="17" a="1"/>
  <c r="U21" i="17"/>
  <c r="U22" i="17" a="1"/>
  <c r="U22" i="17"/>
  <c r="U23" i="17" a="1"/>
  <c r="U23" i="17"/>
  <c r="U24" i="17" a="1"/>
  <c r="U24" i="17"/>
  <c r="U25" i="17" a="1"/>
  <c r="U25" i="17"/>
  <c r="U26" i="17" a="1"/>
  <c r="U26" i="17"/>
  <c r="U27" i="17" a="1"/>
  <c r="U27" i="17"/>
  <c r="U28" i="17" a="1"/>
  <c r="U28" i="17"/>
  <c r="U29" i="17" a="1"/>
  <c r="U29" i="17"/>
  <c r="U30" i="17" a="1"/>
  <c r="U30" i="17"/>
  <c r="U31" i="17" a="1"/>
  <c r="U31" i="17"/>
  <c r="U32" i="17" a="1"/>
  <c r="U32" i="17"/>
  <c r="U33" i="17" a="1"/>
  <c r="U33" i="17"/>
  <c r="U34" i="17" a="1"/>
  <c r="U34" i="17"/>
  <c r="U35" i="17" a="1"/>
  <c r="U35" i="17"/>
  <c r="U36" i="17" a="1"/>
  <c r="U36" i="17"/>
  <c r="V2" i="17" a="1"/>
  <c r="V2" i="17"/>
  <c r="V3" i="17" a="1"/>
  <c r="V3" i="17"/>
  <c r="V4" i="17" a="1"/>
  <c r="V4" i="17"/>
  <c r="V5" i="17" a="1"/>
  <c r="V5" i="17"/>
  <c r="V6" i="17" a="1"/>
  <c r="V6" i="17"/>
  <c r="V7" i="17" a="1"/>
  <c r="V7" i="17"/>
  <c r="V8" i="17" a="1"/>
  <c r="V8" i="17"/>
  <c r="V9" i="17" a="1"/>
  <c r="V9" i="17"/>
  <c r="V10" i="17" a="1"/>
  <c r="V10" i="17"/>
  <c r="V11" i="17" a="1"/>
  <c r="V11" i="17"/>
  <c r="V12" i="17" a="1"/>
  <c r="V12" i="17"/>
  <c r="V13" i="17" a="1"/>
  <c r="V13" i="17"/>
  <c r="V14" i="17" a="1"/>
  <c r="V14" i="17"/>
  <c r="V15" i="17" a="1"/>
  <c r="V15" i="17"/>
  <c r="V16" i="17" a="1"/>
  <c r="V16" i="17"/>
  <c r="V17" i="17" a="1"/>
  <c r="V17" i="17"/>
  <c r="V18" i="17" a="1"/>
  <c r="V18" i="17"/>
  <c r="V19" i="17" a="1"/>
  <c r="V19" i="17"/>
  <c r="V20" i="17" a="1"/>
  <c r="V20" i="17"/>
  <c r="V21" i="17" a="1"/>
  <c r="V21" i="17"/>
  <c r="V22" i="17" a="1"/>
  <c r="V22" i="17"/>
  <c r="V23" i="17" a="1"/>
  <c r="V23" i="17"/>
  <c r="V24" i="17" a="1"/>
  <c r="V24" i="17"/>
  <c r="V25" i="17" a="1"/>
  <c r="V25" i="17"/>
  <c r="V26" i="17" a="1"/>
  <c r="V26" i="17"/>
  <c r="V27" i="17" a="1"/>
  <c r="V27" i="17"/>
  <c r="V28" i="17" a="1"/>
  <c r="V28" i="17"/>
  <c r="V29" i="17" a="1"/>
  <c r="V29" i="17"/>
  <c r="V30" i="17" a="1"/>
  <c r="V30" i="17"/>
  <c r="V31" i="17" a="1"/>
  <c r="V31" i="17"/>
  <c r="V32" i="17" a="1"/>
  <c r="V32" i="17"/>
  <c r="V33" i="17" a="1"/>
  <c r="V33" i="17"/>
  <c r="V34" i="17" a="1"/>
  <c r="V34" i="17"/>
  <c r="V35" i="17" a="1"/>
  <c r="V35" i="17"/>
  <c r="V36" i="17" a="1"/>
  <c r="V36" i="17"/>
  <c r="W2" i="17"/>
  <c r="W3" i="17"/>
  <c r="W4" i="17"/>
  <c r="W5" i="17"/>
  <c r="W6" i="17"/>
  <c r="W7" i="17"/>
  <c r="W8" i="17"/>
  <c r="W9" i="17"/>
  <c r="W10" i="17"/>
  <c r="W11" i="17"/>
  <c r="W12" i="17"/>
  <c r="W13" i="17"/>
  <c r="W14" i="17"/>
  <c r="W15" i="17"/>
  <c r="W16" i="17"/>
  <c r="W17" i="17"/>
  <c r="W18" i="17"/>
  <c r="W19" i="17"/>
  <c r="W20" i="17"/>
  <c r="W21" i="17"/>
  <c r="W22" i="17"/>
  <c r="W23" i="17"/>
  <c r="W24" i="17"/>
  <c r="W25" i="17"/>
  <c r="W26" i="17"/>
  <c r="W27" i="17"/>
  <c r="W28" i="17"/>
  <c r="W29" i="17"/>
  <c r="W30" i="17"/>
  <c r="W31" i="17"/>
  <c r="W32" i="17"/>
  <c r="W33" i="17"/>
  <c r="W34" i="17"/>
  <c r="W35" i="17"/>
  <c r="W36" i="17"/>
  <c r="X2" i="17" a="1"/>
  <c r="X2" i="17"/>
  <c r="X3" i="17" a="1"/>
  <c r="X3" i="17"/>
  <c r="X4" i="17" a="1"/>
  <c r="X4" i="17"/>
  <c r="X5" i="17" a="1"/>
  <c r="X5" i="17"/>
  <c r="X6" i="17" a="1"/>
  <c r="X6" i="17"/>
  <c r="X7" i="17" a="1"/>
  <c r="X7" i="17"/>
  <c r="X8" i="17" a="1"/>
  <c r="X8" i="17"/>
  <c r="X9" i="17" a="1"/>
  <c r="X9" i="17"/>
  <c r="X10" i="17" a="1"/>
  <c r="X10" i="17"/>
  <c r="X11" i="17" a="1"/>
  <c r="X11" i="17"/>
  <c r="X12" i="17" a="1"/>
  <c r="X12" i="17"/>
  <c r="X13" i="17" a="1"/>
  <c r="X13" i="17"/>
  <c r="X14" i="17" a="1"/>
  <c r="X14" i="17"/>
  <c r="X15" i="17" a="1"/>
  <c r="X15" i="17"/>
  <c r="X16" i="17" a="1"/>
  <c r="X16" i="17"/>
  <c r="X17" i="17" a="1"/>
  <c r="X17" i="17"/>
  <c r="X18" i="17" a="1"/>
  <c r="X18" i="17"/>
  <c r="X19" i="17" a="1"/>
  <c r="X19" i="17"/>
  <c r="X20" i="17" a="1"/>
  <c r="X20" i="17"/>
  <c r="X21" i="17" a="1"/>
  <c r="X21" i="17"/>
  <c r="X22" i="17" a="1"/>
  <c r="X22" i="17"/>
  <c r="X23" i="17" a="1"/>
  <c r="X23" i="17"/>
  <c r="X24" i="17" a="1"/>
  <c r="X24" i="17"/>
  <c r="X25" i="17" a="1"/>
  <c r="X25" i="17"/>
  <c r="X26" i="17" a="1"/>
  <c r="X26" i="17"/>
  <c r="X27" i="17" a="1"/>
  <c r="X27" i="17"/>
  <c r="X28" i="17" a="1"/>
  <c r="X28" i="17"/>
  <c r="X29" i="17" a="1"/>
  <c r="X29" i="17"/>
  <c r="X30" i="17" a="1"/>
  <c r="X30" i="17"/>
  <c r="X31" i="17" a="1"/>
  <c r="X31" i="17"/>
  <c r="X32" i="17" a="1"/>
  <c r="X32" i="17"/>
  <c r="X33" i="17" a="1"/>
  <c r="X33" i="17"/>
  <c r="X34" i="17" a="1"/>
  <c r="X34" i="17"/>
  <c r="X35" i="17" a="1"/>
  <c r="X35" i="17"/>
  <c r="X36" i="17" a="1"/>
  <c r="X36" i="17"/>
  <c r="Y2" i="17"/>
  <c r="Y3" i="17"/>
  <c r="Y4" i="17"/>
  <c r="Y5" i="17"/>
  <c r="Y6" i="17"/>
  <c r="Y7" i="17"/>
  <c r="Y8" i="17"/>
  <c r="Y9" i="17"/>
  <c r="Y10" i="17"/>
  <c r="Y11" i="17"/>
  <c r="Y12" i="17"/>
  <c r="Y13" i="17"/>
  <c r="Y14" i="17"/>
  <c r="Y15" i="17"/>
  <c r="Y16" i="17"/>
  <c r="Y17" i="17"/>
  <c r="Y18" i="17"/>
  <c r="Y19" i="17"/>
  <c r="Y20" i="17"/>
  <c r="Y21" i="17"/>
  <c r="Y22" i="17"/>
  <c r="Y23" i="17"/>
  <c r="Y24" i="17"/>
  <c r="Y25" i="17"/>
  <c r="Y26" i="17"/>
  <c r="Y27" i="17"/>
  <c r="Y28" i="17"/>
  <c r="Y29" i="17"/>
  <c r="Y30" i="17"/>
  <c r="Y31" i="17"/>
  <c r="Y32" i="17"/>
  <c r="Y33" i="17"/>
  <c r="Y34" i="17"/>
  <c r="Y35" i="17"/>
  <c r="Y36" i="17"/>
  <c r="G2" i="16"/>
  <c r="Q36" i="17" l="1"/>
  <c r="Q35" i="17"/>
  <c r="Q34" i="17"/>
  <c r="Q33" i="17"/>
  <c r="Q32" i="17"/>
  <c r="Q31" i="17"/>
  <c r="Q30" i="17"/>
  <c r="Q29" i="17"/>
  <c r="Q28" i="17"/>
  <c r="Q27" i="17"/>
  <c r="Q26" i="17"/>
  <c r="Q25" i="17"/>
  <c r="Q24" i="17"/>
  <c r="Q23" i="17"/>
  <c r="Q22" i="17"/>
  <c r="Q21" i="17"/>
  <c r="Q20" i="17"/>
  <c r="Q19" i="17"/>
  <c r="Q18" i="17"/>
  <c r="Q17" i="17"/>
  <c r="Q16" i="17"/>
  <c r="Q15" i="17"/>
  <c r="Q14" i="17"/>
  <c r="Q13" i="17"/>
  <c r="Q12" i="17"/>
  <c r="Q11" i="17"/>
  <c r="Q10" i="17"/>
  <c r="Q9" i="17"/>
  <c r="Q8" i="17"/>
  <c r="Q7" i="17"/>
  <c r="Q6" i="17"/>
  <c r="Q5" i="17"/>
  <c r="Q4" i="17"/>
  <c r="Q3" i="17"/>
  <c r="Q2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mcdin\onedrive\documents\02_advanced system simulation and modeling\arena\03_call_center\call center_step_2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mcdin\onedrive\documents\02_advanced system simulation and modeling\arena\03_call_center\call center_step_2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mcdin\onedrive\documents\02_advanced system simulation and modeling\arena\03_call_center\call center_step_2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mcdin\onedrive\documents\02_advanced system simulation and modeling\arena\03_call_center\call center_step_2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mcdin\onedrive\documents\02_advanced system simulation and modeling\arena\03_call_center\call center_step_2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mcdin\onedrive\documents\02_advanced system simulation and modeling\arena\03_call_center\call center_step_2.db;StepAPI=;SyncPragma=;NoTXN=;Timeout=;ShortNames=;LongNames=;NoCreat=;NoWCHAR=;FKSupport=;JournalMode=;OEMCP=;LoadExt=;BigInt=;JDConv=;" command="select * from OutputStatsQuery"/>
  </connection>
</connections>
</file>

<file path=xl/sharedStrings.xml><?xml version="1.0" encoding="utf-8"?>
<sst xmlns="http://schemas.openxmlformats.org/spreadsheetml/2006/main" count="809" uniqueCount="132">
  <si>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</si>
  <si>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</si>
  <si>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</si>
  <si>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</si>
  <si>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</si>
  <si>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</si>
  <si>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</si>
  <si>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</si>
  <si>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</si>
  <si>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</si>
  <si>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</si>
  <si>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</si>
  <si>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</si>
  <si>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</si>
  <si>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</si>
  <si>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</si>
  <si>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</si>
  <si>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</si>
  <si>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</si>
  <si>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</si>
  <si>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</si>
  <si>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</si>
  <si>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</si>
  <si>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</si>
  <si>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</si>
  <si>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</si>
  <si>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</si>
  <si>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</si>
  <si>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</si>
  <si>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</si>
  <si>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</si>
  <si>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</si>
  <si>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</si>
  <si>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</si>
  <si>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</si>
  <si>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</si>
  <si>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</si>
  <si>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</si>
  <si>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</si>
  <si>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</si>
  <si>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</si>
  <si>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</si>
  <si>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</si>
  <si>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</si>
  <si>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</si>
  <si>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</si>
  <si>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</si>
  <si>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</si>
  <si>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</si>
  <si>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</si>
  <si>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</si>
  <si>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</si>
  <si>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</si>
  <si>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</si>
  <si>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</si>
  <si>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</si>
  <si>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</si>
  <si>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</si>
  <si>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</si>
  <si>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</si>
  <si>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</si>
  <si>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</si>
  <si>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</si>
  <si>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</si>
  <si>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</si>
  <si>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</si>
  <si>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</si>
  <si>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</si>
  <si>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C:\Users\mcdin\OneDrive\Documents\02_Advanced System Simulation and Modeling\ARENA\03_Call_Center\Call Center_Step_2.p</t>
  </si>
  <si>
    <t>2022-10-30 07:12:09</t>
  </si>
  <si>
    <t>Entity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</si>
  <si>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</si>
  <si>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</si>
  <si>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</si>
  <si>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</si>
  <si>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</si>
  <si>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</si>
  <si>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</si>
  <si>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Incoming Call</t>
  </si>
  <si>
    <t>Order Status Call</t>
  </si>
  <si>
    <t>Process Product Type 1.Queue</t>
  </si>
  <si>
    <t>Waiting Time</t>
  </si>
  <si>
    <t>Queue</t>
  </si>
  <si>
    <t>Process Product Type 2.Queue</t>
  </si>
  <si>
    <t>Process Product Type 3.Queue</t>
  </si>
  <si>
    <t>Process Sales Call.Queue</t>
  </si>
  <si>
    <t>Sales Call</t>
  </si>
  <si>
    <t>Seize Trunk Line.Queue</t>
  </si>
  <si>
    <t>Tech Call</t>
  </si>
  <si>
    <t>WIP</t>
  </si>
  <si>
    <t>Order Status Seizes Sales Person.Queue</t>
  </si>
  <si>
    <t>Number Waiting</t>
  </si>
  <si>
    <t>Sales</t>
  </si>
  <si>
    <t>Instantaneous Utilization</t>
  </si>
  <si>
    <t>Resource</t>
  </si>
  <si>
    <t>Number Busy</t>
  </si>
  <si>
    <t>Number Scheduled</t>
  </si>
  <si>
    <t>Tech 1</t>
  </si>
  <si>
    <t>Tech 2</t>
  </si>
  <si>
    <t>Tech 3</t>
  </si>
  <si>
    <t>Trunk Line</t>
  </si>
  <si>
    <t>Attempted Calls</t>
  </si>
  <si>
    <t>Count</t>
  </si>
  <si>
    <t>User Specified</t>
  </si>
  <si>
    <t>Completed Calls</t>
  </si>
  <si>
    <t>Rejected Call</t>
  </si>
  <si>
    <t>Entity 1.NumberIn</t>
  </si>
  <si>
    <t>Number In</t>
  </si>
  <si>
    <t>Entity 1.NumberOut</t>
  </si>
  <si>
    <t>Number Out</t>
  </si>
  <si>
    <t>Incoming Call.NumberIn</t>
  </si>
  <si>
    <t>Incoming Call.NumberOut</t>
  </si>
  <si>
    <t>Order Status Call.NumberIn</t>
  </si>
  <si>
    <t>Order Status Call.NumberOut</t>
  </si>
  <si>
    <t>Sales Call.NumberIn</t>
  </si>
  <si>
    <t>Sales Call.NumberOut</t>
  </si>
  <si>
    <t>Sales.NumberSeized</t>
  </si>
  <si>
    <t>Total Number Seized</t>
  </si>
  <si>
    <t>Sales.ScheduledUtilization</t>
  </si>
  <si>
    <t>Scheduled Utilization</t>
  </si>
  <si>
    <t>System.NumberOut</t>
  </si>
  <si>
    <t>System</t>
  </si>
  <si>
    <t>Tech 1.NumberSeized</t>
  </si>
  <si>
    <t>Tech 1.ScheduledUtilization</t>
  </si>
  <si>
    <t>Tech 2.NumberSeized</t>
  </si>
  <si>
    <t>Tech 2.ScheduledUtilization</t>
  </si>
  <si>
    <t>Tech 3.NumberSeized</t>
  </si>
  <si>
    <t>Tech 3.ScheduledUtilization</t>
  </si>
  <si>
    <t>Tech Call.NumberIn</t>
  </si>
  <si>
    <t>Tech Call.NumberOut</t>
  </si>
  <si>
    <t>Trunk Line.NumberSeized</t>
  </si>
  <si>
    <t>Trunk Line.ScheduledUtilization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</si>
</sst>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2"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i Dinata" refreshedDate="44864.300253240741" createdVersion="7" refreshedVersion="8" minRefreshableVersion="3" recordCount="26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9">
        <s v="Entity 1"/>
        <s v="Incoming Call"/>
        <s v="Order Status Call"/>
        <s v="Order Status Seizes Sales Person.Queue"/>
        <s v="Process Product Type 1.Queue"/>
        <s v="Process Product Type 2.Queue"/>
        <s v="Process Product Type 3.Queue"/>
        <s v="Process Sales Call.Queue"/>
        <s v="Sales"/>
        <s v="Sales Call"/>
        <s v="Seize Trunk Line.Queue"/>
        <s v="Tech 1"/>
        <s v="Tech 2"/>
        <s v="Tech 3"/>
        <s v="Tech Call"/>
        <s v="Trunk Lin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WIP"/>
        <s v="Number Waiting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Entity"/>
        <s v="Queue"/>
        <s v="Resource"/>
        <m u="1"/>
        <s v="User Specified" u="1"/>
      </sharedItems>
    </cacheField>
    <cacheField name="Average" numFmtId="0">
      <sharedItems containsSemiMixedTypes="0" containsString="0" containsNumber="1" minValue="0" maxValue="26"/>
    </cacheField>
    <cacheField name="BatchMeansHalfWidth" numFmtId="0">
      <sharedItems containsSemiMixedTypes="0" containsString="0" containsNumber="1" minValue="3.2963413576912598E-2" maxValue="3E+20"/>
    </cacheField>
    <cacheField name="Minimum" numFmtId="0">
      <sharedItems containsSemiMixedTypes="0" containsString="0" containsNumber="1" containsInteger="1" minValue="0" maxValue="26"/>
    </cacheField>
    <cacheField name="Maximum" numFmtId="0">
      <sharedItems containsSemiMixedTypes="0" containsString="0" containsNumber="1" containsInteger="1" minValue="0" maxValue="26"/>
    </cacheField>
    <cacheField name="LastRecordedValue" numFmtId="0">
      <sharedItems containsSemiMixedTypes="0" containsString="0" containsNumber="1" containsInteger="1" minValue="0" maxValue="26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26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26"/>
    </cacheField>
    <cacheField name="MaximumAverage" numFmtId="0">
      <sharedItems containsSemiMixedTypes="0" containsString="0" containsNumber="1" minValue="0" maxValue="26"/>
    </cacheField>
    <cacheField name="SummaryHalfWidth" numFmtId="0">
      <sharedItems containsSemiMixedTypes="0" containsString="0" containsNumber="1" minValue="3.2963413576912598E-2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i Dinata" refreshedDate="44864.300254050926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i Dinata" refreshedDate="44864.300255092596" createdVersion="7" refreshedVersion="8" minRefreshableVersion="3" recordCount="35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8">
        <s v="Entity 1"/>
        <s v="Incoming Call"/>
        <s v="Order Status Call"/>
        <s v="Process Product Type 1.Queue"/>
        <s v="Process Product Type 2.Queue"/>
        <s v="Process Product Type 3.Queue"/>
        <s v="Process Sales Call.Queue"/>
        <s v="Sales Call"/>
        <s v="Seize Trunk Line.Queue"/>
        <s v="Tech Call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32.053779692992897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6.5884965913086297"/>
    </cacheField>
    <cacheField name="Maximum" numFmtId="0">
      <sharedItems containsSemiMixedTypes="0" containsString="0" containsNumber="1" minValue="0" maxValue="116.73203817416"/>
    </cacheField>
    <cacheField name="NumberObservations" numFmtId="0">
      <sharedItems containsSemiMixedTypes="0" containsString="0" containsNumber="1" containsInteger="1" minValue="1" maxValue="643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32.053779692992897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32.053779692992897"/>
    </cacheField>
    <cacheField name="MaximumAverage" numFmtId="0">
      <sharedItems containsSemiMixedTypes="0" containsString="0" containsNumber="1" minValue="0" maxValue="32.053779692992897"/>
    </cacheField>
    <cacheField name="OverallMinimum" numFmtId="0">
      <sharedItems containsSemiMixedTypes="0" containsString="0" containsNumber="1" minValue="0" maxValue="6.5884965913086297"/>
    </cacheField>
    <cacheField name="OverallMaximum" numFmtId="0">
      <sharedItems containsSemiMixedTypes="0" containsString="0" containsNumber="1" minValue="0" maxValue="116.73203817416"/>
    </cacheField>
    <cacheField name="AverageNumberObservations" numFmtId="0">
      <sharedItems containsSemiMixedTypes="0" containsString="0" containsNumber="1" containsInteger="1" minValue="1" maxValue="643"/>
    </cacheField>
    <cacheField name="SummaryHalfWidth" numFmtId="0">
      <sharedItems containsSemiMixedTypes="0" containsString="0" containsNumber="1" minValue="0" maxValue="3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i Dinata" refreshedDate="44864.30025601852" createdVersion="7" refreshedVersion="8" minRefreshableVersion="3" recordCount="21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97">
        <s v="Entity 1.NumberIn"/>
        <s v="Entity 1.NumberOut"/>
        <s v="Incoming Call.NumberIn"/>
        <s v="Incoming Call.NumberOut"/>
        <s v="Order Status Call.NumberIn"/>
        <s v="Order Status Call.NumberOut"/>
        <s v="Sales Call.NumberIn"/>
        <s v="Sales Call.NumberOut"/>
        <s v="Sales.NumberSeized"/>
        <s v="Sales.ScheduledUtilization"/>
        <s v="System.NumberOut"/>
        <s v="Tech 1.NumberSeized"/>
        <s v="Tech 1.ScheduledUtilization"/>
        <s v="Tech 2.NumberSeized"/>
        <s v="Tech 2.ScheduledUtilization"/>
        <s v="Tech 3.NumberSeized"/>
        <s v="Tech 3.ScheduledUtilization"/>
        <s v="Tech Call.NumberIn"/>
        <s v="Tech Call.NumberOut"/>
        <s v="Trunk Line.NumberSeized"/>
        <s v="Trunk Line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75884892869016196" maxValue="73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75884892869016196" maxValue="735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75884892869016196" maxValue="735"/>
    </cacheField>
    <cacheField name="Maximum" numFmtId="0">
      <sharedItems containsSemiMixedTypes="0" containsString="0" containsNumber="1" minValue="0.75884892869016196" maxValue="7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i Dinata" refreshedDate="44864.300256944443" createdVersion="7" refreshedVersion="8" minRefreshableVersion="3" recordCount="3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7">
        <s v="Attempted Calls"/>
        <s v="Completed Calls"/>
        <s v="Rejected Call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91" maxValue="734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containsInteger="1" minValue="91" maxValue="734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containsInteger="1" minValue="91" maxValue="734"/>
    </cacheField>
    <cacheField name="Maximum" numFmtId="0">
      <sharedItems containsSemiMixedTypes="0" containsString="0" containsNumber="1" containsInteger="1" minValue="91" maxValue="7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x v="0"/>
    <s v="2022-10-30 07:12:09"/>
    <n v="1"/>
    <x v="0"/>
    <x v="0"/>
    <x v="0"/>
    <n v="0"/>
    <n v="2E+20"/>
    <n v="0"/>
    <n v="1"/>
    <n v="0"/>
    <n v="0"/>
    <s v="Unnamed ProjectEntity 1WIPEntity"/>
    <n v="1"/>
    <n v="0"/>
    <n v="0"/>
    <n v="0.95"/>
    <n v="4E+20"/>
    <n v="0"/>
    <n v="0"/>
    <n v="2E+20"/>
  </r>
  <r>
    <x v="0"/>
    <s v="2022-10-30 07:12:09"/>
    <n v="1"/>
    <x v="1"/>
    <x v="0"/>
    <x v="0"/>
    <n v="0.34974338563160001"/>
    <n v="3.2963413576912598E-2"/>
    <n v="0"/>
    <n v="4"/>
    <n v="0"/>
    <n v="0"/>
    <s v="Unnamed ProjectIncoming CallWIPEntity"/>
    <n v="1"/>
    <n v="0.34974338563160001"/>
    <n v="0"/>
    <n v="0.95"/>
    <n v="4E+20"/>
    <n v="0.34974338563160001"/>
    <n v="0.34974338563160001"/>
    <n v="3.2963413576912598E-2"/>
  </r>
  <r>
    <x v="0"/>
    <s v="2022-10-30 07:12:09"/>
    <n v="1"/>
    <x v="2"/>
    <x v="0"/>
    <x v="0"/>
    <n v="0.62853915127286897"/>
    <n v="2E+20"/>
    <n v="0"/>
    <n v="3"/>
    <n v="0"/>
    <n v="0"/>
    <s v="Unnamed ProjectOrder Status CallWIPEntity"/>
    <n v="1"/>
    <n v="0.62853915127286897"/>
    <n v="0"/>
    <n v="0.95"/>
    <n v="4E+20"/>
    <n v="0.62853915127286897"/>
    <n v="0.62853915127286897"/>
    <n v="2E+20"/>
  </r>
  <r>
    <x v="0"/>
    <s v="2022-10-30 07:12:09"/>
    <n v="1"/>
    <x v="3"/>
    <x v="1"/>
    <x v="1"/>
    <n v="0"/>
    <n v="2E+20"/>
    <n v="0"/>
    <n v="0"/>
    <n v="0"/>
    <n v="0"/>
    <s v="Unnamed ProjectOrder Status Seizes Sales Person.QueueNumber WaitingQueue"/>
    <n v="1"/>
    <n v="0"/>
    <n v="0"/>
    <n v="0.95"/>
    <n v="4E+20"/>
    <n v="0"/>
    <n v="0"/>
    <n v="2E+20"/>
  </r>
  <r>
    <x v="0"/>
    <s v="2022-10-30 07:12:09"/>
    <n v="1"/>
    <x v="4"/>
    <x v="1"/>
    <x v="1"/>
    <n v="5.33494275487016"/>
    <n v="2E+20"/>
    <n v="0"/>
    <n v="15"/>
    <n v="0"/>
    <n v="0"/>
    <s v="Unnamed ProjectProcess Product Type 1.QueueNumber WaitingQueue"/>
    <n v="1"/>
    <n v="5.33494275487016"/>
    <n v="0"/>
    <n v="0.95"/>
    <n v="4E+20"/>
    <n v="5.33494275487016"/>
    <n v="5.33494275487016"/>
    <n v="2E+20"/>
  </r>
  <r>
    <x v="0"/>
    <s v="2022-10-30 07:12:09"/>
    <n v="1"/>
    <x v="5"/>
    <x v="1"/>
    <x v="1"/>
    <n v="0.64476609102739701"/>
    <n v="2E+20"/>
    <n v="0"/>
    <n v="5"/>
    <n v="0"/>
    <n v="0"/>
    <s v="Unnamed ProjectProcess Product Type 2.QueueNumber WaitingQueue"/>
    <n v="1"/>
    <n v="0.64476609102739701"/>
    <n v="0"/>
    <n v="0.95"/>
    <n v="4E+20"/>
    <n v="0.64476609102739701"/>
    <n v="0.64476609102739701"/>
    <n v="2E+20"/>
  </r>
  <r>
    <x v="0"/>
    <s v="2022-10-30 07:12:09"/>
    <n v="1"/>
    <x v="6"/>
    <x v="1"/>
    <x v="1"/>
    <n v="1.1445507910916599"/>
    <n v="2E+20"/>
    <n v="0"/>
    <n v="5"/>
    <n v="0"/>
    <n v="0"/>
    <s v="Unnamed ProjectProcess Product Type 3.QueueNumber WaitingQueue"/>
    <n v="1"/>
    <n v="1.1445507910916599"/>
    <n v="0"/>
    <n v="0.95"/>
    <n v="4E+20"/>
    <n v="1.1445507910916599"/>
    <n v="1.1445507910916599"/>
    <n v="2E+20"/>
  </r>
  <r>
    <x v="0"/>
    <s v="2022-10-30 07:12:09"/>
    <n v="1"/>
    <x v="7"/>
    <x v="1"/>
    <x v="1"/>
    <n v="2.0992144957118501"/>
    <n v="2E+20"/>
    <n v="0"/>
    <n v="9"/>
    <n v="0"/>
    <n v="0"/>
    <s v="Unnamed ProjectProcess Sales Call.QueueNumber WaitingQueue"/>
    <n v="1"/>
    <n v="2.0992144957118501"/>
    <n v="0"/>
    <n v="0.95"/>
    <n v="4E+20"/>
    <n v="2.0992144957118501"/>
    <n v="2.0992144957118501"/>
    <n v="2E+20"/>
  </r>
  <r>
    <x v="0"/>
    <s v="2022-10-30 07:12:09"/>
    <n v="1"/>
    <x v="8"/>
    <x v="2"/>
    <x v="2"/>
    <n v="0.81652954821607504"/>
    <n v="2E+20"/>
    <n v="0"/>
    <n v="1"/>
    <n v="0"/>
    <n v="0"/>
    <s v="Unnamed ProjectSalesInstantaneous UtilizationResource"/>
    <n v="1"/>
    <n v="0.81652954821607504"/>
    <n v="0"/>
    <n v="0.95"/>
    <n v="4E+20"/>
    <n v="0.81652954821607504"/>
    <n v="0.81652954821607504"/>
    <n v="2E+20"/>
  </r>
  <r>
    <x v="0"/>
    <s v="2022-10-30 07:12:09"/>
    <n v="1"/>
    <x v="8"/>
    <x v="3"/>
    <x v="2"/>
    <n v="3.2661181928643002"/>
    <n v="2E+20"/>
    <n v="0"/>
    <n v="4"/>
    <n v="0"/>
    <n v="0"/>
    <s v="Unnamed ProjectSalesNumber BusyResource"/>
    <n v="1"/>
    <n v="3.2661181928643002"/>
    <n v="0"/>
    <n v="0.95"/>
    <n v="4E+20"/>
    <n v="3.2661181928643002"/>
    <n v="3.2661181928643002"/>
    <n v="2E+20"/>
  </r>
  <r>
    <x v="0"/>
    <s v="2022-10-30 07:12:09"/>
    <n v="1"/>
    <x v="8"/>
    <x v="4"/>
    <x v="2"/>
    <n v="4"/>
    <n v="2E+20"/>
    <n v="4"/>
    <n v="4"/>
    <n v="4"/>
    <n v="0"/>
    <s v="Unnamed ProjectSalesNumber ScheduledResource"/>
    <n v="1"/>
    <n v="4"/>
    <n v="0"/>
    <n v="0.95"/>
    <n v="4E+20"/>
    <n v="4"/>
    <n v="4"/>
    <n v="2E+20"/>
  </r>
  <r>
    <x v="0"/>
    <s v="2022-10-30 07:12:09"/>
    <n v="1"/>
    <x v="9"/>
    <x v="0"/>
    <x v="0"/>
    <n v="4.9807404544391902"/>
    <n v="2E+20"/>
    <n v="0"/>
    <n v="12"/>
    <n v="0"/>
    <n v="0"/>
    <s v="Unnamed ProjectSales CallWIPEntity"/>
    <n v="1"/>
    <n v="4.9807404544391902"/>
    <n v="0"/>
    <n v="0.95"/>
    <n v="4E+20"/>
    <n v="4.9807404544391902"/>
    <n v="4.9807404544391902"/>
    <n v="2E+20"/>
  </r>
  <r>
    <x v="0"/>
    <s v="2022-10-30 07:12:09"/>
    <n v="1"/>
    <x v="10"/>
    <x v="1"/>
    <x v="1"/>
    <n v="0"/>
    <n v="2E+20"/>
    <n v="0"/>
    <n v="0"/>
    <n v="0"/>
    <n v="0"/>
    <s v="Unnamed ProjectSeize Trunk Line.QueueNumber WaitingQueue"/>
    <n v="1"/>
    <n v="0"/>
    <n v="0"/>
    <n v="0.95"/>
    <n v="4E+20"/>
    <n v="0"/>
    <n v="0"/>
    <n v="2E+20"/>
  </r>
  <r>
    <x v="0"/>
    <s v="2022-10-30 07:12:09"/>
    <n v="1"/>
    <x v="11"/>
    <x v="2"/>
    <x v="2"/>
    <n v="0.95668263177997903"/>
    <n v="2E+20"/>
    <n v="0"/>
    <n v="1"/>
    <n v="0"/>
    <n v="0"/>
    <s v="Unnamed ProjectTech 1Instantaneous UtilizationResource"/>
    <n v="1"/>
    <n v="0.95668263177997903"/>
    <n v="0"/>
    <n v="0.95"/>
    <n v="4E+20"/>
    <n v="0.95668263177997903"/>
    <n v="0.95668263177997903"/>
    <n v="2E+20"/>
  </r>
  <r>
    <x v="0"/>
    <s v="2022-10-30 07:12:09"/>
    <n v="1"/>
    <x v="11"/>
    <x v="3"/>
    <x v="2"/>
    <n v="1.9133652635599601"/>
    <n v="2E+20"/>
    <n v="0"/>
    <n v="2"/>
    <n v="0"/>
    <n v="0"/>
    <s v="Unnamed ProjectTech 1Number BusyResource"/>
    <n v="1"/>
    <n v="1.9133652635599601"/>
    <n v="0"/>
    <n v="0.95"/>
    <n v="4E+20"/>
    <n v="1.9133652635599601"/>
    <n v="1.9133652635599601"/>
    <n v="2E+20"/>
  </r>
  <r>
    <x v="0"/>
    <s v="2022-10-30 07:12:09"/>
    <n v="1"/>
    <x v="11"/>
    <x v="4"/>
    <x v="2"/>
    <n v="2"/>
    <n v="2E+20"/>
    <n v="2"/>
    <n v="2"/>
    <n v="2"/>
    <n v="0"/>
    <s v="Unnamed ProjectTech 1Number ScheduledResource"/>
    <n v="1"/>
    <n v="2"/>
    <n v="0"/>
    <n v="0.95"/>
    <n v="4E+20"/>
    <n v="2"/>
    <n v="2"/>
    <n v="2E+20"/>
  </r>
  <r>
    <x v="0"/>
    <s v="2022-10-30 07:12:09"/>
    <n v="1"/>
    <x v="12"/>
    <x v="2"/>
    <x v="2"/>
    <n v="0.75884892869016196"/>
    <n v="2E+20"/>
    <n v="0"/>
    <n v="1"/>
    <n v="0"/>
    <n v="0"/>
    <s v="Unnamed ProjectTech 2Instantaneous UtilizationResource"/>
    <n v="1"/>
    <n v="0.75884892869016196"/>
    <n v="0"/>
    <n v="0.95"/>
    <n v="4E+20"/>
    <n v="0.75884892869016196"/>
    <n v="0.75884892869016196"/>
    <n v="2E+20"/>
  </r>
  <r>
    <x v="0"/>
    <s v="2022-10-30 07:12:09"/>
    <n v="1"/>
    <x v="12"/>
    <x v="3"/>
    <x v="2"/>
    <n v="2.2765467860704902"/>
    <n v="2E+20"/>
    <n v="0"/>
    <n v="3"/>
    <n v="0"/>
    <n v="0"/>
    <s v="Unnamed ProjectTech 2Number BusyResource"/>
    <n v="1"/>
    <n v="2.2765467860704902"/>
    <n v="0"/>
    <n v="0.95"/>
    <n v="4E+20"/>
    <n v="2.2765467860704902"/>
    <n v="2.2765467860704902"/>
    <n v="2E+20"/>
  </r>
  <r>
    <x v="0"/>
    <s v="2022-10-30 07:12:09"/>
    <n v="1"/>
    <x v="12"/>
    <x v="4"/>
    <x v="2"/>
    <n v="3"/>
    <n v="2E+20"/>
    <n v="3"/>
    <n v="3"/>
    <n v="3"/>
    <n v="0"/>
    <s v="Unnamed ProjectTech 2Number ScheduledResource"/>
    <n v="1"/>
    <n v="3"/>
    <n v="0"/>
    <n v="0.95"/>
    <n v="4E+20"/>
    <n v="3"/>
    <n v="3"/>
    <n v="2E+20"/>
  </r>
  <r>
    <x v="0"/>
    <s v="2022-10-30 07:12:09"/>
    <n v="1"/>
    <x v="13"/>
    <x v="2"/>
    <x v="2"/>
    <n v="0.88675176100051301"/>
    <n v="2E+20"/>
    <n v="0"/>
    <n v="1"/>
    <n v="0"/>
    <n v="0"/>
    <s v="Unnamed ProjectTech 3Instantaneous UtilizationResource"/>
    <n v="1"/>
    <n v="0.88675176100051301"/>
    <n v="0"/>
    <n v="0.95"/>
    <n v="4E+20"/>
    <n v="0.88675176100051301"/>
    <n v="0.88675176100051301"/>
    <n v="2E+20"/>
  </r>
  <r>
    <x v="0"/>
    <s v="2022-10-30 07:12:09"/>
    <n v="1"/>
    <x v="13"/>
    <x v="3"/>
    <x v="2"/>
    <n v="2.6602552830015398"/>
    <n v="2E+20"/>
    <n v="0"/>
    <n v="3"/>
    <n v="0"/>
    <n v="0"/>
    <s v="Unnamed ProjectTech 3Number BusyResource"/>
    <n v="1"/>
    <n v="2.6602552830015398"/>
    <n v="0"/>
    <n v="0.95"/>
    <n v="4E+20"/>
    <n v="2.6602552830015398"/>
    <n v="2.6602552830015398"/>
    <n v="2E+20"/>
  </r>
  <r>
    <x v="0"/>
    <s v="2022-10-30 07:12:09"/>
    <n v="1"/>
    <x v="13"/>
    <x v="4"/>
    <x v="2"/>
    <n v="3"/>
    <n v="2E+20"/>
    <n v="3"/>
    <n v="3"/>
    <n v="3"/>
    <n v="0"/>
    <s v="Unnamed ProjectTech 3Number ScheduledResource"/>
    <n v="1"/>
    <n v="3"/>
    <n v="0"/>
    <n v="0.95"/>
    <n v="4E+20"/>
    <n v="3"/>
    <n v="3"/>
    <n v="2E+20"/>
  </r>
  <r>
    <x v="0"/>
    <s v="2022-10-30 07:12:09"/>
    <n v="1"/>
    <x v="14"/>
    <x v="0"/>
    <x v="0"/>
    <n v="14.204614083706"/>
    <n v="3E+20"/>
    <n v="0"/>
    <n v="24"/>
    <n v="0"/>
    <n v="0"/>
    <s v="Unnamed ProjectTech CallWIPEntity"/>
    <n v="1"/>
    <n v="14.204614083706"/>
    <n v="0"/>
    <n v="0.95"/>
    <n v="4E+20"/>
    <n v="14.204614083706"/>
    <n v="14.204614083706"/>
    <n v="3E+20"/>
  </r>
  <r>
    <x v="0"/>
    <s v="2022-10-30 07:12:09"/>
    <n v="1"/>
    <x v="15"/>
    <x v="2"/>
    <x v="2"/>
    <n v="0.77552450288652297"/>
    <n v="3E+20"/>
    <n v="0"/>
    <n v="1"/>
    <n v="0"/>
    <n v="0"/>
    <s v="Unnamed ProjectTrunk LineInstantaneous UtilizationResource"/>
    <n v="1"/>
    <n v="0.77552450288652297"/>
    <n v="0"/>
    <n v="0.95"/>
    <n v="4E+20"/>
    <n v="0.77552450288652297"/>
    <n v="0.77552450288652297"/>
    <n v="3E+20"/>
  </r>
  <r>
    <x v="0"/>
    <s v="2022-10-30 07:12:09"/>
    <n v="1"/>
    <x v="15"/>
    <x v="3"/>
    <x v="2"/>
    <n v="20.1636370750496"/>
    <n v="3E+20"/>
    <n v="0"/>
    <n v="26"/>
    <n v="0"/>
    <n v="0"/>
    <s v="Unnamed ProjectTrunk LineNumber BusyResource"/>
    <n v="1"/>
    <n v="20.1636370750496"/>
    <n v="0"/>
    <n v="0.95"/>
    <n v="4E+20"/>
    <n v="20.1636370750496"/>
    <n v="20.1636370750496"/>
    <n v="3E+20"/>
  </r>
  <r>
    <x v="0"/>
    <s v="2022-10-30 07:12:09"/>
    <n v="1"/>
    <x v="15"/>
    <x v="4"/>
    <x v="2"/>
    <n v="26"/>
    <n v="2E+20"/>
    <n v="26"/>
    <n v="26"/>
    <n v="26"/>
    <n v="0"/>
    <s v="Unnamed ProjectTrunk LineNumber ScheduledResource"/>
    <n v="1"/>
    <n v="26"/>
    <n v="0"/>
    <n v="0.95"/>
    <n v="4E+20"/>
    <n v="26"/>
    <n v="26"/>
    <n v="2E+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s v="2022-10-30 07:12:09"/>
    <n v="1"/>
    <x v="0"/>
    <x v="0"/>
    <x v="0"/>
    <n v="0"/>
    <n v="2E+20"/>
    <n v="0"/>
    <n v="0"/>
    <n v="1"/>
    <s v="Unnamed ProjectEntity 1NVA TimeEntity"/>
    <n v="1"/>
    <n v="0"/>
    <n v="0"/>
    <n v="0.95"/>
    <n v="4E+20"/>
    <n v="0"/>
    <n v="0"/>
    <n v="0"/>
    <n v="0"/>
    <n v="1"/>
    <n v="2E+20"/>
    <n v="1"/>
    <n v="1"/>
  </r>
  <r>
    <x v="0"/>
    <s v="2022-10-30 07:12:09"/>
    <n v="1"/>
    <x v="0"/>
    <x v="1"/>
    <x v="0"/>
    <n v="0"/>
    <n v="2E+20"/>
    <n v="0"/>
    <n v="0"/>
    <n v="1"/>
    <s v="Unnamed ProjectEntity 1Other TimeEntity"/>
    <n v="1"/>
    <n v="0"/>
    <n v="0"/>
    <n v="0.95"/>
    <n v="4E+20"/>
    <n v="0"/>
    <n v="0"/>
    <n v="0"/>
    <n v="0"/>
    <n v="1"/>
    <n v="2E+20"/>
    <n v="1"/>
    <n v="1"/>
  </r>
  <r>
    <x v="0"/>
    <s v="2022-10-30 07:12:09"/>
    <n v="1"/>
    <x v="0"/>
    <x v="2"/>
    <x v="0"/>
    <n v="0"/>
    <n v="2E+20"/>
    <n v="0"/>
    <n v="0"/>
    <n v="1"/>
    <s v="Unnamed ProjectEntity 1Total TimeEntity"/>
    <n v="1"/>
    <n v="0"/>
    <n v="0"/>
    <n v="0.95"/>
    <n v="4E+20"/>
    <n v="0"/>
    <n v="0"/>
    <n v="0"/>
    <n v="0"/>
    <n v="1"/>
    <n v="2E+20"/>
    <n v="1"/>
    <n v="1"/>
  </r>
  <r>
    <x v="0"/>
    <s v="2022-10-30 07:12:09"/>
    <n v="1"/>
    <x v="0"/>
    <x v="3"/>
    <x v="0"/>
    <n v="0"/>
    <n v="2E+20"/>
    <n v="0"/>
    <n v="0"/>
    <n v="1"/>
    <s v="Unnamed ProjectEntity 1Transfer TimeEntity"/>
    <n v="1"/>
    <n v="0"/>
    <n v="0"/>
    <n v="0.95"/>
    <n v="4E+20"/>
    <n v="0"/>
    <n v="0"/>
    <n v="0"/>
    <n v="0"/>
    <n v="1"/>
    <n v="2E+20"/>
    <n v="1"/>
    <n v="1"/>
  </r>
  <r>
    <x v="0"/>
    <s v="2022-10-30 07:12:09"/>
    <n v="1"/>
    <x v="0"/>
    <x v="4"/>
    <x v="0"/>
    <n v="0"/>
    <n v="2E+20"/>
    <n v="0"/>
    <n v="0"/>
    <n v="1"/>
    <s v="Unnamed ProjectEntity 1VA TimeEntity"/>
    <n v="1"/>
    <n v="0"/>
    <n v="0"/>
    <n v="0.95"/>
    <n v="4E+20"/>
    <n v="0"/>
    <n v="0"/>
    <n v="0"/>
    <n v="0"/>
    <n v="1"/>
    <n v="2E+20"/>
    <n v="1"/>
    <n v="1"/>
  </r>
  <r>
    <x v="0"/>
    <s v="2022-10-30 07:12:09"/>
    <n v="1"/>
    <x v="0"/>
    <x v="5"/>
    <x v="0"/>
    <n v="0"/>
    <n v="2E+20"/>
    <n v="0"/>
    <n v="0"/>
    <n v="1"/>
    <s v="Unnamed ProjectEntity 1Wait TimeEntity"/>
    <n v="1"/>
    <n v="0"/>
    <n v="0"/>
    <n v="0.95"/>
    <n v="4E+20"/>
    <n v="0"/>
    <n v="0"/>
    <n v="0"/>
    <n v="0"/>
    <n v="1"/>
    <n v="2E+20"/>
    <n v="1"/>
    <n v="1"/>
  </r>
  <r>
    <x v="0"/>
    <s v="2022-10-30 07:12:09"/>
    <n v="1"/>
    <x v="1"/>
    <x v="0"/>
    <x v="0"/>
    <n v="0"/>
    <n v="2E+20"/>
    <n v="0"/>
    <n v="0"/>
    <n v="91"/>
    <s v="Unnamed ProjectIncoming CallNVA TimeEntity"/>
    <n v="1"/>
    <n v="0"/>
    <n v="0"/>
    <n v="0.95"/>
    <n v="4E+20"/>
    <n v="0"/>
    <n v="0"/>
    <n v="0"/>
    <n v="0"/>
    <n v="91"/>
    <n v="2E+20"/>
    <n v="1"/>
    <n v="1"/>
  </r>
  <r>
    <x v="0"/>
    <s v="2022-10-30 07:12:09"/>
    <n v="1"/>
    <x v="1"/>
    <x v="1"/>
    <x v="0"/>
    <n v="0"/>
    <n v="2E+20"/>
    <n v="0"/>
    <n v="0"/>
    <n v="91"/>
    <s v="Unnamed ProjectIncoming CallOther TimeEntity"/>
    <n v="1"/>
    <n v="0"/>
    <n v="0"/>
    <n v="0.95"/>
    <n v="4E+20"/>
    <n v="0"/>
    <n v="0"/>
    <n v="0"/>
    <n v="0"/>
    <n v="91"/>
    <n v="2E+20"/>
    <n v="1"/>
    <n v="1"/>
  </r>
  <r>
    <x v="0"/>
    <s v="2022-10-30 07:12:09"/>
    <n v="1"/>
    <x v="1"/>
    <x v="2"/>
    <x v="0"/>
    <n v="0"/>
    <n v="2E+20"/>
    <n v="0"/>
    <n v="0"/>
    <n v="91"/>
    <s v="Unnamed ProjectIncoming CallTotal TimeEntity"/>
    <n v="1"/>
    <n v="0"/>
    <n v="0"/>
    <n v="0.95"/>
    <n v="4E+20"/>
    <n v="0"/>
    <n v="0"/>
    <n v="0"/>
    <n v="0"/>
    <n v="91"/>
    <n v="2E+20"/>
    <n v="1"/>
    <n v="1"/>
  </r>
  <r>
    <x v="0"/>
    <s v="2022-10-30 07:12:09"/>
    <n v="1"/>
    <x v="1"/>
    <x v="3"/>
    <x v="0"/>
    <n v="0"/>
    <n v="2E+20"/>
    <n v="0"/>
    <n v="0"/>
    <n v="91"/>
    <s v="Unnamed ProjectIncoming CallTransfer TimeEntity"/>
    <n v="1"/>
    <n v="0"/>
    <n v="0"/>
    <n v="0.95"/>
    <n v="4E+20"/>
    <n v="0"/>
    <n v="0"/>
    <n v="0"/>
    <n v="0"/>
    <n v="91"/>
    <n v="2E+20"/>
    <n v="1"/>
    <n v="1"/>
  </r>
  <r>
    <x v="0"/>
    <s v="2022-10-30 07:12:09"/>
    <n v="1"/>
    <x v="1"/>
    <x v="4"/>
    <x v="0"/>
    <n v="0"/>
    <n v="2E+20"/>
    <n v="0"/>
    <n v="0"/>
    <n v="91"/>
    <s v="Unnamed ProjectIncoming CallVA TimeEntity"/>
    <n v="1"/>
    <n v="0"/>
    <n v="0"/>
    <n v="0.95"/>
    <n v="4E+20"/>
    <n v="0"/>
    <n v="0"/>
    <n v="0"/>
    <n v="0"/>
    <n v="91"/>
    <n v="2E+20"/>
    <n v="1"/>
    <n v="1"/>
  </r>
  <r>
    <x v="0"/>
    <s v="2022-10-30 07:12:09"/>
    <n v="1"/>
    <x v="1"/>
    <x v="5"/>
    <x v="0"/>
    <n v="0"/>
    <n v="2E+20"/>
    <n v="0"/>
    <n v="0"/>
    <n v="91"/>
    <s v="Unnamed ProjectIncoming CallWait TimeEntity"/>
    <n v="1"/>
    <n v="0"/>
    <n v="0"/>
    <n v="0.95"/>
    <n v="4E+20"/>
    <n v="0"/>
    <n v="0"/>
    <n v="0"/>
    <n v="0"/>
    <n v="91"/>
    <n v="2E+20"/>
    <n v="1"/>
    <n v="1"/>
  </r>
  <r>
    <x v="0"/>
    <s v="2022-10-30 07:12:09"/>
    <n v="1"/>
    <x v="2"/>
    <x v="0"/>
    <x v="0"/>
    <n v="0"/>
    <n v="2E+20"/>
    <n v="0"/>
    <n v="0"/>
    <n v="51"/>
    <s v="Unnamed ProjectOrder Status CallNVA TimeEntity"/>
    <n v="1"/>
    <n v="0"/>
    <n v="0"/>
    <n v="0.95"/>
    <n v="4E+20"/>
    <n v="0"/>
    <n v="0"/>
    <n v="0"/>
    <n v="0"/>
    <n v="51"/>
    <n v="2E+20"/>
    <n v="1"/>
    <n v="1"/>
  </r>
  <r>
    <x v="0"/>
    <s v="2022-10-30 07:12:09"/>
    <n v="1"/>
    <x v="2"/>
    <x v="1"/>
    <x v="0"/>
    <n v="3.7438051337529998"/>
    <n v="2E+20"/>
    <n v="2.4792193430949001"/>
    <n v="7.5252872129322697"/>
    <n v="51"/>
    <s v="Unnamed ProjectOrder Status CallOther TimeEntity"/>
    <n v="1"/>
    <n v="3.7438051337529998"/>
    <n v="0"/>
    <n v="0.95"/>
    <n v="4E+20"/>
    <n v="3.7438051337529998"/>
    <n v="3.7438051337529998"/>
    <n v="2.4792193430949001"/>
    <n v="7.5252872129322697"/>
    <n v="51"/>
    <n v="2E+20"/>
    <n v="1"/>
    <n v="1"/>
  </r>
  <r>
    <x v="0"/>
    <s v="2022-10-30 07:12:09"/>
    <n v="1"/>
    <x v="2"/>
    <x v="2"/>
    <x v="0"/>
    <n v="8.1962762735749504"/>
    <n v="2E+20"/>
    <n v="2.4792193430949001"/>
    <n v="116.73203817416"/>
    <n v="51"/>
    <s v="Unnamed ProjectOrder Status CallTotal TimeEntity"/>
    <n v="1"/>
    <n v="8.1962762735749504"/>
    <n v="0"/>
    <n v="0.95"/>
    <n v="4E+20"/>
    <n v="8.1962762735749504"/>
    <n v="8.1962762735749504"/>
    <n v="2.4792193430949001"/>
    <n v="116.73203817416"/>
    <n v="51"/>
    <n v="2E+20"/>
    <n v="1"/>
    <n v="1"/>
  </r>
  <r>
    <x v="0"/>
    <s v="2022-10-30 07:12:09"/>
    <n v="1"/>
    <x v="2"/>
    <x v="3"/>
    <x v="0"/>
    <n v="0"/>
    <n v="2E+20"/>
    <n v="0"/>
    <n v="0"/>
    <n v="51"/>
    <s v="Unnamed ProjectOrder Status CallTransfer TimeEntity"/>
    <n v="1"/>
    <n v="0"/>
    <n v="0"/>
    <n v="0.95"/>
    <n v="4E+20"/>
    <n v="0"/>
    <n v="0"/>
    <n v="0"/>
    <n v="0"/>
    <n v="51"/>
    <n v="2E+20"/>
    <n v="1"/>
    <n v="1"/>
  </r>
  <r>
    <x v="0"/>
    <s v="2022-10-30 07:12:09"/>
    <n v="1"/>
    <x v="2"/>
    <x v="4"/>
    <x v="0"/>
    <n v="0"/>
    <n v="2E+20"/>
    <n v="0"/>
    <n v="0"/>
    <n v="51"/>
    <s v="Unnamed ProjectOrder Status CallVA TimeEntity"/>
    <n v="1"/>
    <n v="0"/>
    <n v="0"/>
    <n v="0.95"/>
    <n v="4E+20"/>
    <n v="0"/>
    <n v="0"/>
    <n v="0"/>
    <n v="0"/>
    <n v="51"/>
    <n v="2E+20"/>
    <n v="1"/>
    <n v="1"/>
  </r>
  <r>
    <x v="0"/>
    <s v="2022-10-30 07:12:09"/>
    <n v="1"/>
    <x v="2"/>
    <x v="5"/>
    <x v="0"/>
    <n v="4.4524711398219496"/>
    <n v="2E+20"/>
    <n v="0"/>
    <n v="110.709165323538"/>
    <n v="51"/>
    <s v="Unnamed ProjectOrder Status CallWait TimeEntity"/>
    <n v="1"/>
    <n v="4.4524711398219496"/>
    <n v="0"/>
    <n v="0.95"/>
    <n v="4E+20"/>
    <n v="4.4524711398219496"/>
    <n v="4.4524711398219496"/>
    <n v="0"/>
    <n v="110.709165323538"/>
    <n v="51"/>
    <n v="2E+20"/>
    <n v="1"/>
    <n v="1"/>
  </r>
  <r>
    <x v="0"/>
    <s v="2022-10-30 07:12:09"/>
    <n v="1"/>
    <x v="3"/>
    <x v="6"/>
    <x v="1"/>
    <n v="25.7528061044598"/>
    <n v="2E+20"/>
    <n v="0"/>
    <n v="55.448830613305503"/>
    <n v="132"/>
    <s v="Unnamed ProjectProcess Product Type 1.QueueWaiting TimeQueue"/>
    <n v="1"/>
    <n v="25.7528061044598"/>
    <n v="0"/>
    <n v="0.95"/>
    <n v="4E+20"/>
    <n v="25.7528061044598"/>
    <n v="25.7528061044598"/>
    <n v="0"/>
    <n v="55.448830613305503"/>
    <n v="132"/>
    <n v="2E+20"/>
    <n v="1"/>
    <n v="1"/>
  </r>
  <r>
    <x v="0"/>
    <s v="2022-10-30 07:12:09"/>
    <n v="1"/>
    <x v="4"/>
    <x v="6"/>
    <x v="1"/>
    <n v="2.5360388385411499"/>
    <n v="2E+20"/>
    <n v="0"/>
    <n v="13.9285767702473"/>
    <n v="162"/>
    <s v="Unnamed ProjectProcess Product Type 2.QueueWaiting TimeQueue"/>
    <n v="1"/>
    <n v="2.5360388385411499"/>
    <n v="0"/>
    <n v="0.95"/>
    <n v="4E+20"/>
    <n v="2.5360388385411499"/>
    <n v="2.5360388385411499"/>
    <n v="0"/>
    <n v="13.9285767702473"/>
    <n v="162"/>
    <n v="2E+20"/>
    <n v="1"/>
    <n v="1"/>
  </r>
  <r>
    <x v="0"/>
    <s v="2022-10-30 07:12:09"/>
    <n v="1"/>
    <x v="5"/>
    <x v="6"/>
    <x v="1"/>
    <n v="3.6833128244012499"/>
    <n v="2E+20"/>
    <n v="0"/>
    <n v="13.877365122289101"/>
    <n v="198"/>
    <s v="Unnamed ProjectProcess Product Type 3.QueueWaiting TimeQueue"/>
    <n v="1"/>
    <n v="3.6833128244012499"/>
    <n v="0"/>
    <n v="0.95"/>
    <n v="4E+20"/>
    <n v="3.6833128244012499"/>
    <n v="3.6833128244012499"/>
    <n v="0"/>
    <n v="13.877365122289101"/>
    <n v="198"/>
    <n v="2E+20"/>
    <n v="1"/>
    <n v="1"/>
  </r>
  <r>
    <x v="0"/>
    <s v="2022-10-30 07:12:09"/>
    <n v="1"/>
    <x v="6"/>
    <x v="6"/>
    <x v="1"/>
    <n v="12.618847063862001"/>
    <n v="2E+20"/>
    <n v="0"/>
    <n v="110.709165323538"/>
    <n v="106"/>
    <s v="Unnamed ProjectProcess Sales Call.QueueWaiting TimeQueue"/>
    <n v="1"/>
    <n v="12.618847063862001"/>
    <n v="0"/>
    <n v="0.95"/>
    <n v="4E+20"/>
    <n v="12.618847063862001"/>
    <n v="12.618847063862001"/>
    <n v="0"/>
    <n v="110.709165323538"/>
    <n v="106"/>
    <n v="2E+20"/>
    <n v="1"/>
    <n v="1"/>
  </r>
  <r>
    <x v="0"/>
    <s v="2022-10-30 07:12:09"/>
    <n v="1"/>
    <x v="7"/>
    <x v="0"/>
    <x v="0"/>
    <n v="0"/>
    <n v="2E+20"/>
    <n v="0"/>
    <n v="0"/>
    <n v="100"/>
    <s v="Unnamed ProjectSales CallNVA TimeEntity"/>
    <n v="1"/>
    <n v="0"/>
    <n v="0"/>
    <n v="0.95"/>
    <n v="4E+20"/>
    <n v="0"/>
    <n v="0"/>
    <n v="0"/>
    <n v="0"/>
    <n v="100"/>
    <n v="2E+20"/>
    <n v="1"/>
    <n v="1"/>
  </r>
  <r>
    <x v="0"/>
    <s v="2022-10-30 07:12:09"/>
    <n v="1"/>
    <x v="7"/>
    <x v="1"/>
    <x v="0"/>
    <n v="0.31701609927145202"/>
    <n v="2E+20"/>
    <n v="0.100708315439533"/>
    <n v="0.596573227058116"/>
    <n v="100"/>
    <s v="Unnamed ProjectSales CallOther TimeEntity"/>
    <n v="1"/>
    <n v="0.31701609927145202"/>
    <n v="0"/>
    <n v="0.95"/>
    <n v="4E+20"/>
    <n v="0.31701609927145202"/>
    <n v="0.31701609927145202"/>
    <n v="0.100708315439533"/>
    <n v="0.596573227058116"/>
    <n v="100"/>
    <n v="2E+20"/>
    <n v="1"/>
    <n v="1"/>
  </r>
  <r>
    <x v="0"/>
    <s v="2022-10-30 07:12:09"/>
    <n v="1"/>
    <x v="7"/>
    <x v="2"/>
    <x v="0"/>
    <n v="32.053779692992897"/>
    <n v="2E+20"/>
    <n v="6.5884965913086297"/>
    <n v="74.533007375472806"/>
    <n v="100"/>
    <s v="Unnamed ProjectSales CallTotal TimeEntity"/>
    <n v="1"/>
    <n v="32.053779692992897"/>
    <n v="0"/>
    <n v="0.95"/>
    <n v="4E+20"/>
    <n v="32.053779692992897"/>
    <n v="32.053779692992897"/>
    <n v="6.5884965913086297"/>
    <n v="74.533007375472806"/>
    <n v="100"/>
    <n v="2E+20"/>
    <n v="1"/>
    <n v="1"/>
  </r>
  <r>
    <x v="0"/>
    <s v="2022-10-30 07:12:09"/>
    <n v="1"/>
    <x v="7"/>
    <x v="3"/>
    <x v="0"/>
    <n v="0"/>
    <n v="2E+20"/>
    <n v="0"/>
    <n v="0"/>
    <n v="100"/>
    <s v="Unnamed ProjectSales CallTransfer TimeEntity"/>
    <n v="1"/>
    <n v="0"/>
    <n v="0"/>
    <n v="0.95"/>
    <n v="4E+20"/>
    <n v="0"/>
    <n v="0"/>
    <n v="0"/>
    <n v="0"/>
    <n v="100"/>
    <n v="2E+20"/>
    <n v="1"/>
    <n v="1"/>
  </r>
  <r>
    <x v="0"/>
    <s v="2022-10-30 07:12:09"/>
    <n v="1"/>
    <x v="7"/>
    <x v="4"/>
    <x v="0"/>
    <n v="20.631545987336899"/>
    <n v="2E+20"/>
    <n v="6.0402717898131799"/>
    <n v="42.375032280898601"/>
    <n v="100"/>
    <s v="Unnamed ProjectSales CallVA TimeEntity"/>
    <n v="1"/>
    <n v="20.631545987336899"/>
    <n v="0"/>
    <n v="0.95"/>
    <n v="4E+20"/>
    <n v="20.631545987336899"/>
    <n v="20.631545987336899"/>
    <n v="6.0402717898131799"/>
    <n v="42.375032280898601"/>
    <n v="100"/>
    <n v="2E+20"/>
    <n v="1"/>
    <n v="1"/>
  </r>
  <r>
    <x v="0"/>
    <s v="2022-10-30 07:12:09"/>
    <n v="1"/>
    <x v="7"/>
    <x v="5"/>
    <x v="0"/>
    <n v="11.105217606384601"/>
    <n v="2E+20"/>
    <n v="0"/>
    <n v="45.354629350394099"/>
    <n v="100"/>
    <s v="Unnamed ProjectSales CallWait TimeEntity"/>
    <n v="1"/>
    <n v="11.105217606384601"/>
    <n v="0"/>
    <n v="0.95"/>
    <n v="4E+20"/>
    <n v="11.105217606384601"/>
    <n v="11.105217606384601"/>
    <n v="0"/>
    <n v="45.354629350394099"/>
    <n v="100"/>
    <n v="2E+20"/>
    <n v="1"/>
    <n v="1"/>
  </r>
  <r>
    <x v="0"/>
    <s v="2022-10-30 07:12:09"/>
    <n v="1"/>
    <x v="8"/>
    <x v="6"/>
    <x v="1"/>
    <n v="0"/>
    <n v="0"/>
    <n v="0"/>
    <n v="0"/>
    <n v="643"/>
    <s v="Unnamed ProjectSeize Trunk Line.QueueWaiting TimeQueue"/>
    <n v="1"/>
    <n v="0"/>
    <n v="0"/>
    <n v="0.95"/>
    <n v="4E+20"/>
    <n v="0"/>
    <n v="0"/>
    <n v="0"/>
    <n v="0"/>
    <n v="643"/>
    <n v="0"/>
    <n v="1"/>
    <n v="1"/>
  </r>
  <r>
    <x v="0"/>
    <s v="2022-10-30 07:12:09"/>
    <n v="1"/>
    <x v="9"/>
    <x v="0"/>
    <x v="0"/>
    <n v="0"/>
    <n v="0"/>
    <n v="0"/>
    <n v="0"/>
    <n v="492"/>
    <s v="Unnamed ProjectTech CallNVA TimeEntity"/>
    <n v="1"/>
    <n v="0"/>
    <n v="0"/>
    <n v="0.95"/>
    <n v="4E+20"/>
    <n v="0"/>
    <n v="0"/>
    <n v="0"/>
    <n v="0"/>
    <n v="492"/>
    <n v="0"/>
    <n v="1"/>
    <n v="1"/>
  </r>
  <r>
    <x v="0"/>
    <s v="2022-10-30 07:12:09"/>
    <n v="1"/>
    <x v="9"/>
    <x v="1"/>
    <x v="0"/>
    <n v="0.65104202541697398"/>
    <n v="1.6095393029091101E-2"/>
    <n v="0.20414502573351001"/>
    <n v="1.0565806673898801"/>
    <n v="492"/>
    <s v="Unnamed ProjectTech CallOther TimeEntity"/>
    <n v="1"/>
    <n v="0.65104202541697398"/>
    <n v="0"/>
    <n v="0.95"/>
    <n v="4E+20"/>
    <n v="0.65104202541697398"/>
    <n v="0.65104202541697398"/>
    <n v="0.20414502573351001"/>
    <n v="1.0565806673898801"/>
    <n v="492"/>
    <n v="1.6095393029091101E-2"/>
    <n v="1"/>
    <n v="1"/>
  </r>
  <r>
    <x v="0"/>
    <s v="2022-10-30 07:12:09"/>
    <n v="1"/>
    <x v="9"/>
    <x v="2"/>
    <x v="0"/>
    <n v="18.7493357025674"/>
    <n v="3E+20"/>
    <n v="3.9936186977993602"/>
    <n v="71.410240256673305"/>
    <n v="492"/>
    <s v="Unnamed ProjectTech CallTotal TimeEntity"/>
    <n v="1"/>
    <n v="18.7493357025674"/>
    <n v="0"/>
    <n v="0.95"/>
    <n v="4E+20"/>
    <n v="18.7493357025674"/>
    <n v="18.7493357025674"/>
    <n v="3.9936186977993602"/>
    <n v="71.410240256673305"/>
    <n v="492"/>
    <n v="3E+20"/>
    <n v="1"/>
    <n v="1"/>
  </r>
  <r>
    <x v="0"/>
    <s v="2022-10-30 07:12:09"/>
    <n v="1"/>
    <x v="9"/>
    <x v="3"/>
    <x v="0"/>
    <n v="0"/>
    <n v="0"/>
    <n v="0"/>
    <n v="0"/>
    <n v="492"/>
    <s v="Unnamed ProjectTech CallTransfer TimeEntity"/>
    <n v="1"/>
    <n v="0"/>
    <n v="0"/>
    <n v="0.95"/>
    <n v="4E+20"/>
    <n v="0"/>
    <n v="0"/>
    <n v="0"/>
    <n v="0"/>
    <n v="492"/>
    <n v="0"/>
    <n v="1"/>
    <n v="1"/>
  </r>
  <r>
    <x v="0"/>
    <s v="2022-10-30 07:12:09"/>
    <n v="1"/>
    <x v="9"/>
    <x v="4"/>
    <x v="0"/>
    <n v="8.8716582363703598"/>
    <n v="0.298461574776681"/>
    <n v="3.3753799108626499"/>
    <n v="17.360695362498401"/>
    <n v="492"/>
    <s v="Unnamed ProjectTech CallVA TimeEntity"/>
    <n v="1"/>
    <n v="8.8716582363703598"/>
    <n v="0"/>
    <n v="0.95"/>
    <n v="4E+20"/>
    <n v="8.8716582363703598"/>
    <n v="8.8716582363703598"/>
    <n v="3.3753799108626499"/>
    <n v="17.360695362498401"/>
    <n v="492"/>
    <n v="0.298461574776681"/>
    <n v="1"/>
    <n v="1"/>
  </r>
  <r>
    <x v="0"/>
    <s v="2022-10-30 07:12:09"/>
    <n v="1"/>
    <x v="9"/>
    <x v="5"/>
    <x v="0"/>
    <n v="9.2266354407801092"/>
    <n v="3E+20"/>
    <n v="0"/>
    <n v="55.448830613305503"/>
    <n v="492"/>
    <s v="Unnamed ProjectTech CallWait TimeEntity"/>
    <n v="1"/>
    <n v="9.2266354407801092"/>
    <n v="0"/>
    <n v="0.95"/>
    <n v="4E+20"/>
    <n v="9.2266354407801092"/>
    <n v="9.2266354407801092"/>
    <n v="0"/>
    <n v="55.448830613305503"/>
    <n v="492"/>
    <n v="3E+20"/>
    <n v="1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s v="2022-10-30 07:12:09"/>
    <n v="1"/>
    <x v="0"/>
    <x v="0"/>
    <x v="0"/>
    <n v="1"/>
    <n v="0"/>
    <s v="Unnamed ProjectEntity 1.NumberInNumber InEntity"/>
    <n v="1"/>
    <n v="1"/>
    <n v="0"/>
    <n v="0.95"/>
    <n v="4E+20"/>
    <n v="1"/>
    <n v="1"/>
  </r>
  <r>
    <x v="0"/>
    <s v="2022-10-30 07:12:09"/>
    <n v="1"/>
    <x v="1"/>
    <x v="1"/>
    <x v="0"/>
    <n v="1"/>
    <n v="0"/>
    <s v="Unnamed ProjectEntity 1.NumberOutNumber OutEntity"/>
    <n v="1"/>
    <n v="1"/>
    <n v="0"/>
    <n v="0.95"/>
    <n v="4E+20"/>
    <n v="1"/>
    <n v="1"/>
  </r>
  <r>
    <x v="0"/>
    <s v="2022-10-30 07:12:09"/>
    <n v="1"/>
    <x v="2"/>
    <x v="0"/>
    <x v="0"/>
    <n v="735"/>
    <n v="0"/>
    <s v="Unnamed ProjectIncoming Call.NumberInNumber InEntity"/>
    <n v="1"/>
    <n v="735"/>
    <n v="0"/>
    <n v="0.95"/>
    <n v="4E+20"/>
    <n v="735"/>
    <n v="735"/>
  </r>
  <r>
    <x v="0"/>
    <s v="2022-10-30 07:12:09"/>
    <n v="1"/>
    <x v="3"/>
    <x v="1"/>
    <x v="0"/>
    <n v="735"/>
    <n v="0"/>
    <s v="Unnamed ProjectIncoming Call.NumberOutNumber OutEntity"/>
    <n v="1"/>
    <n v="735"/>
    <n v="0"/>
    <n v="0.95"/>
    <n v="4E+20"/>
    <n v="735"/>
    <n v="735"/>
  </r>
  <r>
    <x v="0"/>
    <s v="2022-10-30 07:12:09"/>
    <n v="1"/>
    <x v="4"/>
    <x v="0"/>
    <x v="0"/>
    <n v="51"/>
    <n v="0"/>
    <s v="Unnamed ProjectOrder Status Call.NumberInNumber InEntity"/>
    <n v="1"/>
    <n v="51"/>
    <n v="0"/>
    <n v="0.95"/>
    <n v="4E+20"/>
    <n v="51"/>
    <n v="51"/>
  </r>
  <r>
    <x v="0"/>
    <s v="2022-10-30 07:12:09"/>
    <n v="1"/>
    <x v="5"/>
    <x v="1"/>
    <x v="0"/>
    <n v="51"/>
    <n v="0"/>
    <s v="Unnamed ProjectOrder Status Call.NumberOutNumber OutEntity"/>
    <n v="1"/>
    <n v="51"/>
    <n v="0"/>
    <n v="0.95"/>
    <n v="4E+20"/>
    <n v="51"/>
    <n v="51"/>
  </r>
  <r>
    <x v="0"/>
    <s v="2022-10-30 07:12:09"/>
    <n v="1"/>
    <x v="6"/>
    <x v="0"/>
    <x v="0"/>
    <n v="100"/>
    <n v="0"/>
    <s v="Unnamed ProjectSales Call.NumberInNumber InEntity"/>
    <n v="1"/>
    <n v="100"/>
    <n v="0"/>
    <n v="0.95"/>
    <n v="4E+20"/>
    <n v="100"/>
    <n v="100"/>
  </r>
  <r>
    <x v="0"/>
    <s v="2022-10-30 07:12:09"/>
    <n v="1"/>
    <x v="7"/>
    <x v="1"/>
    <x v="0"/>
    <n v="100"/>
    <n v="0"/>
    <s v="Unnamed ProjectSales Call.NumberOutNumber OutEntity"/>
    <n v="1"/>
    <n v="100"/>
    <n v="0"/>
    <n v="0.95"/>
    <n v="4E+20"/>
    <n v="100"/>
    <n v="100"/>
  </r>
  <r>
    <x v="0"/>
    <s v="2022-10-30 07:12:09"/>
    <n v="1"/>
    <x v="8"/>
    <x v="2"/>
    <x v="1"/>
    <n v="106"/>
    <n v="0"/>
    <s v="Unnamed ProjectSales.NumberSeizedTotal Number SeizedResource"/>
    <n v="1"/>
    <n v="106"/>
    <n v="0"/>
    <n v="0.95"/>
    <n v="4E+20"/>
    <n v="106"/>
    <n v="106"/>
  </r>
  <r>
    <x v="0"/>
    <s v="2022-10-30 07:12:09"/>
    <n v="1"/>
    <x v="9"/>
    <x v="3"/>
    <x v="1"/>
    <n v="0.81652954821607504"/>
    <n v="0"/>
    <s v="Unnamed ProjectSales.ScheduledUtilizationScheduled UtilizationResource"/>
    <n v="1"/>
    <n v="0.81652954821607504"/>
    <n v="0"/>
    <n v="0.95"/>
    <n v="4E+20"/>
    <n v="0.81652954821607504"/>
    <n v="0.81652954821607504"/>
  </r>
  <r>
    <x v="0"/>
    <s v="2022-10-30 07:12:09"/>
    <n v="1"/>
    <x v="10"/>
    <x v="1"/>
    <x v="2"/>
    <n v="735"/>
    <n v="0"/>
    <s v="Unnamed ProjectSystem.NumberOutNumber OutSystem"/>
    <n v="1"/>
    <n v="735"/>
    <n v="0"/>
    <n v="0.95"/>
    <n v="4E+20"/>
    <n v="735"/>
    <n v="735"/>
  </r>
  <r>
    <x v="0"/>
    <s v="2022-10-30 07:12:09"/>
    <n v="1"/>
    <x v="11"/>
    <x v="2"/>
    <x v="1"/>
    <n v="132"/>
    <n v="0"/>
    <s v="Unnamed ProjectTech 1.NumberSeizedTotal Number SeizedResource"/>
    <n v="1"/>
    <n v="132"/>
    <n v="0"/>
    <n v="0.95"/>
    <n v="4E+20"/>
    <n v="132"/>
    <n v="132"/>
  </r>
  <r>
    <x v="0"/>
    <s v="2022-10-30 07:12:09"/>
    <n v="1"/>
    <x v="12"/>
    <x v="3"/>
    <x v="1"/>
    <n v="0.95668263177997903"/>
    <n v="0"/>
    <s v="Unnamed ProjectTech 1.ScheduledUtilizationScheduled UtilizationResource"/>
    <n v="1"/>
    <n v="0.95668263177997903"/>
    <n v="0"/>
    <n v="0.95"/>
    <n v="4E+20"/>
    <n v="0.95668263177997903"/>
    <n v="0.95668263177997903"/>
  </r>
  <r>
    <x v="0"/>
    <s v="2022-10-30 07:12:09"/>
    <n v="1"/>
    <x v="13"/>
    <x v="2"/>
    <x v="1"/>
    <n v="162"/>
    <n v="0"/>
    <s v="Unnamed ProjectTech 2.NumberSeizedTotal Number SeizedResource"/>
    <n v="1"/>
    <n v="162"/>
    <n v="0"/>
    <n v="0.95"/>
    <n v="4E+20"/>
    <n v="162"/>
    <n v="162"/>
  </r>
  <r>
    <x v="0"/>
    <s v="2022-10-30 07:12:09"/>
    <n v="1"/>
    <x v="14"/>
    <x v="3"/>
    <x v="1"/>
    <n v="0.75884892869016196"/>
    <n v="0"/>
    <s v="Unnamed ProjectTech 2.ScheduledUtilizationScheduled UtilizationResource"/>
    <n v="1"/>
    <n v="0.75884892869016196"/>
    <n v="0"/>
    <n v="0.95"/>
    <n v="4E+20"/>
    <n v="0.75884892869016196"/>
    <n v="0.75884892869016196"/>
  </r>
  <r>
    <x v="0"/>
    <s v="2022-10-30 07:12:09"/>
    <n v="1"/>
    <x v="15"/>
    <x v="2"/>
    <x v="1"/>
    <n v="198"/>
    <n v="0"/>
    <s v="Unnamed ProjectTech 3.NumberSeizedTotal Number SeizedResource"/>
    <n v="1"/>
    <n v="198"/>
    <n v="0"/>
    <n v="0.95"/>
    <n v="4E+20"/>
    <n v="198"/>
    <n v="198"/>
  </r>
  <r>
    <x v="0"/>
    <s v="2022-10-30 07:12:09"/>
    <n v="1"/>
    <x v="16"/>
    <x v="3"/>
    <x v="1"/>
    <n v="0.88675176100051301"/>
    <n v="0"/>
    <s v="Unnamed ProjectTech 3.ScheduledUtilizationScheduled UtilizationResource"/>
    <n v="1"/>
    <n v="0.88675176100051301"/>
    <n v="0"/>
    <n v="0.95"/>
    <n v="4E+20"/>
    <n v="0.88675176100051301"/>
    <n v="0.88675176100051301"/>
  </r>
  <r>
    <x v="0"/>
    <s v="2022-10-30 07:12:09"/>
    <n v="1"/>
    <x v="17"/>
    <x v="0"/>
    <x v="0"/>
    <n v="492"/>
    <n v="0"/>
    <s v="Unnamed ProjectTech Call.NumberInNumber InEntity"/>
    <n v="1"/>
    <n v="492"/>
    <n v="0"/>
    <n v="0.95"/>
    <n v="4E+20"/>
    <n v="492"/>
    <n v="492"/>
  </r>
  <r>
    <x v="0"/>
    <s v="2022-10-30 07:12:09"/>
    <n v="1"/>
    <x v="18"/>
    <x v="1"/>
    <x v="0"/>
    <n v="492"/>
    <n v="0"/>
    <s v="Unnamed ProjectTech Call.NumberOutNumber OutEntity"/>
    <n v="1"/>
    <n v="492"/>
    <n v="0"/>
    <n v="0.95"/>
    <n v="4E+20"/>
    <n v="492"/>
    <n v="492"/>
  </r>
  <r>
    <x v="0"/>
    <s v="2022-10-30 07:12:09"/>
    <n v="1"/>
    <x v="19"/>
    <x v="2"/>
    <x v="1"/>
    <n v="643"/>
    <n v="0"/>
    <s v="Unnamed ProjectTrunk Line.NumberSeizedTotal Number SeizedResource"/>
    <n v="1"/>
    <n v="643"/>
    <n v="0"/>
    <n v="0.95"/>
    <n v="4E+20"/>
    <n v="643"/>
    <n v="643"/>
  </r>
  <r>
    <x v="0"/>
    <s v="2022-10-30 07:12:09"/>
    <n v="1"/>
    <x v="20"/>
    <x v="3"/>
    <x v="1"/>
    <n v="0.77552450288652297"/>
    <n v="0"/>
    <s v="Unnamed ProjectTrunk Line.ScheduledUtilizationScheduled UtilizationResource"/>
    <n v="1"/>
    <n v="0.77552450288652297"/>
    <n v="0"/>
    <n v="0.95"/>
    <n v="4E+20"/>
    <n v="0.77552450288652297"/>
    <n v="0.7755245028865229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s v="2022-10-30 07:12:09"/>
    <n v="1"/>
    <x v="0"/>
    <x v="0"/>
    <x v="0"/>
    <n v="734"/>
    <s v="Unnamed ProjectAttempted CallsCountUser Specified"/>
    <n v="1"/>
    <n v="734"/>
    <n v="0"/>
    <n v="0.95"/>
    <n v="4E+20"/>
    <n v="734"/>
    <n v="734"/>
  </r>
  <r>
    <x v="0"/>
    <s v="2022-10-30 07:12:09"/>
    <n v="1"/>
    <x v="1"/>
    <x v="0"/>
    <x v="0"/>
    <n v="643"/>
    <s v="Unnamed ProjectCompleted CallsCountUser Specified"/>
    <n v="1"/>
    <n v="643"/>
    <n v="0"/>
    <n v="0.95"/>
    <n v="4E+20"/>
    <n v="643"/>
    <n v="643"/>
  </r>
  <r>
    <x v="0"/>
    <s v="2022-10-30 07:12:09"/>
    <n v="1"/>
    <x v="2"/>
    <x v="0"/>
    <x v="0"/>
    <n v="91"/>
    <s v="Unnamed ProjectRejected CallCountUser Specified"/>
    <n v="1"/>
    <n v="91"/>
    <n v="0"/>
    <n v="0.95"/>
    <n v="4E+20"/>
    <n v="91"/>
    <n v="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28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9">
        <item m="1" x="31"/>
        <item m="1" x="22"/>
        <item m="1" x="38"/>
        <item m="1" x="47"/>
        <item m="1" x="60"/>
        <item m="1" x="59"/>
        <item m="1" x="23"/>
        <item m="1" x="124"/>
        <item m="1" x="102"/>
        <item m="1" x="65"/>
        <item m="1" x="52"/>
        <item m="1" x="56"/>
        <item x="0"/>
        <item m="1" x="41"/>
        <item m="1" x="123"/>
        <item m="1" x="45"/>
        <item m="1" x="96"/>
        <item m="1" x="110"/>
        <item m="1" x="20"/>
        <item m="1" x="46"/>
        <item m="1" x="133"/>
        <item m="1" x="35"/>
        <item m="1" x="125"/>
        <item m="1" x="24"/>
        <item m="1" x="51"/>
        <item m="1" x="77"/>
        <item m="1" x="21"/>
        <item m="1" x="27"/>
        <item m="1" x="97"/>
        <item m="1" x="78"/>
        <item m="1" x="112"/>
        <item m="1" x="68"/>
        <item m="1" x="32"/>
        <item m="1" x="62"/>
        <item m="1" x="98"/>
        <item m="1" x="83"/>
        <item m="1" x="33"/>
        <item m="1" x="43"/>
        <item m="1" x="105"/>
        <item m="1" x="19"/>
        <item m="1" x="132"/>
        <item m="1" x="90"/>
        <item m="1" x="30"/>
        <item m="1" x="115"/>
        <item m="1" x="61"/>
        <item m="1" x="134"/>
        <item m="1" x="95"/>
        <item m="1" x="37"/>
        <item m="1" x="82"/>
        <item m="1" x="101"/>
        <item m="1" x="114"/>
        <item m="1" x="122"/>
        <item m="1" x="131"/>
        <item m="1" x="18"/>
        <item m="1" x="36"/>
        <item m="1" x="50"/>
        <item m="1" x="39"/>
        <item m="1" x="17"/>
        <item m="1" x="111"/>
        <item m="1" x="128"/>
        <item m="1" x="54"/>
        <item m="1" x="89"/>
        <item m="1" x="42"/>
        <item m="1" x="63"/>
        <item m="1" x="48"/>
        <item m="1" x="72"/>
        <item m="1" x="57"/>
        <item m="1" x="79"/>
        <item m="1" x="64"/>
        <item m="1" x="91"/>
        <item m="1" x="73"/>
        <item m="1" x="99"/>
        <item m="1" x="80"/>
        <item m="1" x="108"/>
        <item m="1" x="92"/>
        <item m="1" x="113"/>
        <item m="1" x="100"/>
        <item m="1" x="117"/>
        <item m="1" x="129"/>
        <item m="1" x="119"/>
        <item m="1" x="103"/>
        <item m="1" x="76"/>
        <item m="1" x="55"/>
        <item m="1" x="70"/>
        <item m="1" x="34"/>
        <item m="1" x="40"/>
        <item m="1" x="49"/>
        <item m="1" x="53"/>
        <item m="1" x="85"/>
        <item m="1" x="130"/>
        <item m="1" x="120"/>
        <item m="1" x="104"/>
        <item m="1" x="71"/>
        <item m="1" x="138"/>
        <item m="1" x="87"/>
        <item m="1" x="75"/>
        <item m="1" x="107"/>
        <item m="1" x="88"/>
        <item m="1" x="67"/>
        <item m="1" x="74"/>
        <item m="1" x="28"/>
        <item m="1" x="93"/>
        <item m="1" x="109"/>
        <item m="1" x="118"/>
        <item m="1" x="126"/>
        <item m="1" x="137"/>
        <item m="1" x="25"/>
        <item m="1" x="44"/>
        <item m="1" x="136"/>
        <item m="1" x="26"/>
        <item m="1" x="94"/>
        <item m="1" x="69"/>
        <item m="1" x="84"/>
        <item m="1" x="29"/>
        <item m="1" x="135"/>
        <item m="1" x="116"/>
        <item m="1" x="66"/>
        <item m="1" x="127"/>
        <item m="1" x="86"/>
        <item m="1" x="106"/>
        <item m="1" x="121"/>
        <item m="1" x="58"/>
        <item m="1" x="81"/>
        <item m="1" x="1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compact="0" outline="0" showAll="0" defaultSubtotal="0">
      <items count="7">
        <item x="2"/>
        <item x="3"/>
        <item x="4"/>
        <item x="1"/>
        <item x="0"/>
        <item m="1" x="6"/>
        <item m="1" x="5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6">
    <i>
      <x v="3"/>
      <x v="12"/>
      <x v="4"/>
      <x/>
    </i>
    <i r="1">
      <x v="124"/>
      <x v="4"/>
      <x/>
    </i>
    <i r="1">
      <x v="125"/>
      <x v="4"/>
      <x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 v="3"/>
      <x v="1"/>
    </i>
    <i r="1">
      <x v="130"/>
      <x v="3"/>
      <x v="1"/>
    </i>
    <i r="1">
      <x v="131"/>
      <x/>
      <x v="2"/>
    </i>
    <i r="2">
      <x v="1"/>
      <x v="2"/>
    </i>
    <i r="2">
      <x v="2"/>
      <x v="2"/>
    </i>
    <i r="1">
      <x v="132"/>
      <x v="4"/>
      <x/>
    </i>
    <i r="1">
      <x v="133"/>
      <x v="3"/>
      <x v="1"/>
    </i>
    <i r="1">
      <x v="134"/>
      <x/>
      <x v="2"/>
    </i>
    <i r="2">
      <x v="1"/>
      <x v="2"/>
    </i>
    <i r="2">
      <x v="2"/>
      <x v="2"/>
    </i>
    <i r="1">
      <x v="135"/>
      <x/>
      <x v="2"/>
    </i>
    <i r="2">
      <x v="1"/>
      <x v="2"/>
    </i>
    <i r="2">
      <x v="2"/>
      <x v="2"/>
    </i>
    <i r="1">
      <x v="136"/>
      <x/>
      <x v="2"/>
    </i>
    <i r="2">
      <x v="1"/>
      <x v="2"/>
    </i>
    <i r="2">
      <x v="2"/>
      <x v="2"/>
    </i>
    <i r="1">
      <x v="137"/>
      <x v="4"/>
      <x/>
    </i>
    <i r="1">
      <x v="138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37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8">
        <item m="1" x="20"/>
        <item m="1" x="43"/>
        <item m="1" x="15"/>
        <item m="1" x="95"/>
        <item m="1" x="78"/>
        <item m="1" x="48"/>
        <item m="1" x="104"/>
        <item m="1" x="36"/>
        <item m="1" x="40"/>
        <item x="0"/>
        <item m="1" x="73"/>
        <item m="1" x="85"/>
        <item m="1" x="90"/>
        <item m="1" x="14"/>
        <item m="1" x="42"/>
        <item m="1" x="32"/>
        <item m="1" x="107"/>
        <item m="1" x="102"/>
        <item m="1" x="30"/>
        <item m="1" x="24"/>
        <item m="1" x="96"/>
        <item m="1" x="16"/>
        <item m="1" x="49"/>
        <item m="1" x="35"/>
        <item m="1" x="60"/>
        <item m="1" x="87"/>
        <item m="1" x="51"/>
        <item m="1" x="21"/>
        <item m="1" x="45"/>
        <item m="1" x="74"/>
        <item m="1" x="64"/>
        <item m="1" x="22"/>
        <item m="1" x="81"/>
        <item m="1" x="13"/>
        <item m="1" x="101"/>
        <item m="1" x="69"/>
        <item m="1" x="89"/>
        <item m="1" x="44"/>
        <item m="1" x="103"/>
        <item m="1" x="72"/>
        <item m="1" x="26"/>
        <item m="1" x="63"/>
        <item m="1" x="77"/>
        <item m="1" x="88"/>
        <item m="1" x="94"/>
        <item m="1" x="12"/>
        <item m="1" x="25"/>
        <item m="1" x="34"/>
        <item m="1" x="27"/>
        <item m="1" x="11"/>
        <item m="1" x="86"/>
        <item m="1" x="98"/>
        <item m="1" x="38"/>
        <item m="1" x="68"/>
        <item m="1" x="29"/>
        <item m="1" x="46"/>
        <item m="1" x="33"/>
        <item m="1" x="54"/>
        <item m="1" x="41"/>
        <item m="1" x="61"/>
        <item m="1" x="47"/>
        <item m="1" x="70"/>
        <item m="1" x="55"/>
        <item m="1" x="75"/>
        <item m="1" x="62"/>
        <item m="1" x="83"/>
        <item m="1" x="76"/>
        <item m="1" x="91"/>
        <item m="1" x="99"/>
        <item m="1" x="79"/>
        <item m="1" x="58"/>
        <item m="1" x="39"/>
        <item m="1" x="52"/>
        <item m="1" x="23"/>
        <item m="1" x="28"/>
        <item m="1" x="37"/>
        <item m="1" x="65"/>
        <item m="1" x="100"/>
        <item m="1" x="93"/>
        <item m="1" x="80"/>
        <item m="1" x="53"/>
        <item m="1" x="66"/>
        <item m="1" x="57"/>
        <item m="1" x="82"/>
        <item m="1" x="67"/>
        <item m="1" x="50"/>
        <item m="1" x="56"/>
        <item m="1" x="19"/>
        <item m="1" x="59"/>
        <item m="1" x="71"/>
        <item m="1" x="84"/>
        <item m="1" x="92"/>
        <item m="1" x="97"/>
        <item m="1" x="106"/>
        <item m="1" x="17"/>
        <item m="1" x="31"/>
        <item m="1" x="105"/>
        <item m="1" x="18"/>
        <item m="1" x="10"/>
        <item x="1"/>
        <item x="2"/>
        <item x="3"/>
        <item x="4"/>
        <item x="5"/>
        <item x="6"/>
        <item x="7"/>
        <item x="8"/>
        <item x="9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35">
    <i>
      <x v="3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1"/>
      <x v="7"/>
      <x v="1"/>
    </i>
    <i r="1">
      <x v="102"/>
      <x v="7"/>
      <x v="1"/>
    </i>
    <i r="1">
      <x v="103"/>
      <x v="7"/>
      <x v="1"/>
    </i>
    <i r="1">
      <x v="104"/>
      <x v="7"/>
      <x v="1"/>
    </i>
    <i r="1">
      <x v="105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6"/>
      <x v="7"/>
      <x v="1"/>
    </i>
    <i r="1">
      <x v="107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23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7">
        <item m="1" x="46"/>
        <item m="1" x="22"/>
        <item m="1" x="47"/>
        <item m="1" x="23"/>
        <item m="1" x="48"/>
        <item m="1" x="24"/>
        <item m="1" x="49"/>
        <item m="1" x="25"/>
        <item m="1" x="81"/>
        <item m="1" x="36"/>
        <item x="10"/>
        <item m="1" x="80"/>
        <item m="1" x="67"/>
        <item m="1" x="84"/>
        <item m="1" x="69"/>
        <item x="0"/>
        <item x="1"/>
        <item m="1" x="61"/>
        <item m="1" x="29"/>
        <item m="1" x="78"/>
        <item m="1" x="68"/>
        <item m="1" x="66"/>
        <item m="1" x="32"/>
        <item m="1" x="76"/>
        <item m="1" x="41"/>
        <item m="1" x="77"/>
        <item m="1" x="42"/>
        <item m="1" x="75"/>
        <item m="1" x="93"/>
        <item m="1" x="35"/>
        <item m="1" x="96"/>
        <item m="1" x="63"/>
        <item m="1" x="30"/>
        <item m="1" x="91"/>
        <item m="1" x="87"/>
        <item m="1" x="64"/>
        <item m="1" x="31"/>
        <item m="1" x="92"/>
        <item m="1" x="88"/>
        <item m="1" x="26"/>
        <item m="1" x="60"/>
        <item m="1" x="44"/>
        <item m="1" x="34"/>
        <item m="1" x="85"/>
        <item m="1" x="56"/>
        <item m="1" x="86"/>
        <item m="1" x="57"/>
        <item m="1" x="43"/>
        <item m="1" x="38"/>
        <item m="1" x="65"/>
        <item m="1" x="40"/>
        <item m="1" x="95"/>
        <item m="1" x="89"/>
        <item m="1" x="39"/>
        <item m="1" x="37"/>
        <item m="1" x="82"/>
        <item m="1" x="90"/>
        <item m="1" x="27"/>
        <item m="1" x="45"/>
        <item m="1" x="58"/>
        <item m="1" x="79"/>
        <item m="1" x="94"/>
        <item m="1" x="28"/>
        <item m="1" x="55"/>
        <item m="1" x="59"/>
        <item m="1" x="83"/>
        <item m="1" x="62"/>
        <item m="1" x="33"/>
        <item m="1" x="50"/>
        <item m="1" x="70"/>
        <item m="1" x="51"/>
        <item m="1" x="71"/>
        <item m="1" x="52"/>
        <item m="1" x="72"/>
        <item m="1" x="53"/>
        <item m="1" x="73"/>
        <item m="1" x="54"/>
        <item m="1" x="74"/>
        <item m="1" x="2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1">
    <i>
      <x v="3"/>
      <x v="10"/>
      <x v="1"/>
      <x v="2"/>
    </i>
    <i r="1">
      <x v="15"/>
      <x/>
      <x/>
    </i>
    <i r="1">
      <x v="16"/>
      <x v="1"/>
      <x/>
    </i>
    <i r="1">
      <x v="79"/>
      <x/>
      <x/>
    </i>
    <i r="1">
      <x v="80"/>
      <x v="1"/>
      <x/>
    </i>
    <i r="1">
      <x v="81"/>
      <x/>
      <x/>
    </i>
    <i r="1">
      <x v="82"/>
      <x v="1"/>
      <x/>
    </i>
    <i r="1">
      <x v="83"/>
      <x/>
      <x/>
    </i>
    <i r="1">
      <x v="84"/>
      <x v="1"/>
      <x/>
    </i>
    <i r="1">
      <x v="85"/>
      <x v="3"/>
      <x v="1"/>
    </i>
    <i r="1">
      <x v="86"/>
      <x v="2"/>
      <x v="1"/>
    </i>
    <i r="1">
      <x v="87"/>
      <x v="3"/>
      <x v="1"/>
    </i>
    <i r="1">
      <x v="88"/>
      <x v="2"/>
      <x v="1"/>
    </i>
    <i r="1">
      <x v="89"/>
      <x v="3"/>
      <x v="1"/>
    </i>
    <i r="1">
      <x v="90"/>
      <x v="2"/>
      <x v="1"/>
    </i>
    <i r="1">
      <x v="91"/>
      <x v="3"/>
      <x v="1"/>
    </i>
    <i r="1">
      <x v="92"/>
      <x v="2"/>
      <x v="1"/>
    </i>
    <i r="1">
      <x v="93"/>
      <x/>
      <x/>
    </i>
    <i r="1">
      <x v="94"/>
      <x v="1"/>
      <x/>
    </i>
    <i r="1">
      <x v="95"/>
      <x v="3"/>
      <x v="1"/>
    </i>
    <i r="1">
      <x v="96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5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6"/>
        <item m="1" x="5"/>
        <item m="1" x="4"/>
        <item m="1" x="3"/>
        <item x="0"/>
        <item x="1"/>
        <item x="2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3">
    <i>
      <x v="3"/>
      <x v="4"/>
      <x/>
      <x/>
    </i>
    <i r="1">
      <x v="5"/>
      <x/>
      <x/>
    </i>
    <i r="1">
      <x v="6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36" tableType="queryTable" totalsRowShown="0">
  <autoFilter ref="A1:Y36" xr:uid="{C3D003CA-1AFF-426C-A03D-D3AF5760DF1A}"/>
  <sortState xmlns:xlrd2="http://schemas.microsoft.com/office/spreadsheetml/2017/richdata2" ref="A2:Y36">
    <sortCondition ref="D1:D36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70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9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8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7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6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5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4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3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2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1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60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9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8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7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7" tableType="queryTable" totalsRowShown="0">
  <autoFilter ref="A1:U27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6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5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4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3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2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1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50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9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8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4" tableType="queryTable" totalsRowShown="0">
  <autoFilter ref="A1:O4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2" tableType="queryTable" totalsRowShown="0">
  <autoFilter ref="A1:P22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1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0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39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38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7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6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5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4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5" x14ac:dyDescent="0.25"/>
  <cols>
    <col min="1" max="1" width="16.42578125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68</v>
      </c>
      <c r="C2" t="s">
        <v>69</v>
      </c>
      <c r="D2">
        <v>2</v>
      </c>
      <c r="E2">
        <v>1</v>
      </c>
      <c r="F2">
        <v>637.18966856495001</v>
      </c>
      <c r="G2">
        <f>0.95</f>
        <v>0.95</v>
      </c>
    </row>
  </sheetData>
  <phoneticPr fontId="2" type="noConversion"/>
  <conditionalFormatting sqref="D2">
    <cfRule type="expression" dxfId="33" priority="1">
      <formula>D2=3</formula>
    </cfRule>
    <cfRule type="expression" dxfId="32" priority="2">
      <formula>D2=2</formula>
    </cfRule>
    <cfRule type="expression" dxfId="31" priority="3">
      <formula>D2=1</formula>
    </cfRule>
    <cfRule type="expression" dxfId="30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37"/>
  <sheetViews>
    <sheetView tabSelected="1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13.8554687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0.85546875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2E+20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</v>
      </c>
      <c r="O3" t="s">
        <v>67</v>
      </c>
      <c r="P3" t="s">
        <v>70</v>
      </c>
      <c r="Q3" t="s">
        <v>89</v>
      </c>
      <c r="R3" t="s">
        <v>72</v>
      </c>
      <c r="S3" s="5">
        <v>0</v>
      </c>
      <c r="T3" s="5">
        <v>2E+20</v>
      </c>
      <c r="U3" s="5">
        <v>0</v>
      </c>
      <c r="V3" s="5">
        <v>0</v>
      </c>
      <c r="W3" s="5">
        <v>0</v>
      </c>
      <c r="X3" s="5">
        <v>0</v>
      </c>
      <c r="Y3" s="5">
        <v>1</v>
      </c>
      <c r="AA3" t="s">
        <v>67</v>
      </c>
      <c r="AB3" t="s">
        <v>101</v>
      </c>
      <c r="AC3" t="s">
        <v>102</v>
      </c>
      <c r="AD3" t="s">
        <v>103</v>
      </c>
      <c r="AE3" s="5">
        <v>734</v>
      </c>
      <c r="AF3" s="5">
        <v>4E+20</v>
      </c>
      <c r="AG3" s="5">
        <v>0</v>
      </c>
      <c r="AH3" s="5">
        <v>734</v>
      </c>
      <c r="AI3" s="5">
        <v>734</v>
      </c>
      <c r="AK3" t="s">
        <v>67</v>
      </c>
      <c r="AL3" t="s">
        <v>120</v>
      </c>
      <c r="AM3" t="s">
        <v>109</v>
      </c>
      <c r="AN3" t="s">
        <v>121</v>
      </c>
      <c r="AO3" s="5">
        <v>735</v>
      </c>
      <c r="AP3" s="5">
        <v>4E+20</v>
      </c>
      <c r="AQ3" s="5">
        <v>0</v>
      </c>
      <c r="AR3" s="5">
        <v>735</v>
      </c>
      <c r="AS3" s="5">
        <v>735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C4" t="s">
        <v>73</v>
      </c>
      <c r="D4" t="s">
        <v>72</v>
      </c>
      <c r="E4" s="5">
        <v>0</v>
      </c>
      <c r="F4" s="5">
        <v>1</v>
      </c>
      <c r="G4" s="5">
        <v>2E+20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1</v>
      </c>
      <c r="P4" t="s">
        <v>78</v>
      </c>
      <c r="Q4" t="s">
        <v>89</v>
      </c>
      <c r="R4" t="s">
        <v>72</v>
      </c>
      <c r="S4" s="5">
        <v>0.34974338563160001</v>
      </c>
      <c r="T4" s="5">
        <v>3.2963413576912598E-2</v>
      </c>
      <c r="U4" s="5">
        <v>0</v>
      </c>
      <c r="V4" s="5">
        <v>0.34974338563160001</v>
      </c>
      <c r="W4" s="5">
        <v>0.34974338563160001</v>
      </c>
      <c r="X4" s="5">
        <v>0</v>
      </c>
      <c r="Y4" s="5">
        <v>4</v>
      </c>
      <c r="AB4" t="s">
        <v>104</v>
      </c>
      <c r="AC4" t="s">
        <v>102</v>
      </c>
      <c r="AD4" t="s">
        <v>103</v>
      </c>
      <c r="AE4" s="5">
        <v>643</v>
      </c>
      <c r="AF4" s="5">
        <v>4E+20</v>
      </c>
      <c r="AG4" s="5">
        <v>0</v>
      </c>
      <c r="AH4" s="5">
        <v>643</v>
      </c>
      <c r="AI4" s="5">
        <v>643</v>
      </c>
      <c r="AL4" t="s">
        <v>106</v>
      </c>
      <c r="AM4" t="s">
        <v>107</v>
      </c>
      <c r="AN4" t="s">
        <v>72</v>
      </c>
      <c r="AO4" s="5">
        <v>1</v>
      </c>
      <c r="AP4" s="5">
        <v>4E+20</v>
      </c>
      <c r="AQ4" s="5">
        <v>0</v>
      </c>
      <c r="AR4" s="5">
        <v>1</v>
      </c>
      <c r="AS4" s="5">
        <v>1</v>
      </c>
    </row>
    <row r="5" spans="1:52" x14ac:dyDescent="0.25">
      <c r="C5" t="s">
        <v>74</v>
      </c>
      <c r="D5" t="s">
        <v>72</v>
      </c>
      <c r="E5" s="5">
        <v>0</v>
      </c>
      <c r="F5" s="5">
        <v>1</v>
      </c>
      <c r="G5" s="5">
        <v>2E+20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1</v>
      </c>
      <c r="P5" t="s">
        <v>79</v>
      </c>
      <c r="Q5" t="s">
        <v>89</v>
      </c>
      <c r="R5" t="s">
        <v>72</v>
      </c>
      <c r="S5" s="5">
        <v>0.62853915127286897</v>
      </c>
      <c r="T5" s="5">
        <v>2E+20</v>
      </c>
      <c r="U5" s="5">
        <v>0</v>
      </c>
      <c r="V5" s="5">
        <v>0.62853915127286897</v>
      </c>
      <c r="W5" s="5">
        <v>0.62853915127286897</v>
      </c>
      <c r="X5" s="5">
        <v>0</v>
      </c>
      <c r="Y5" s="5">
        <v>3</v>
      </c>
      <c r="AB5" t="s">
        <v>105</v>
      </c>
      <c r="AC5" t="s">
        <v>102</v>
      </c>
      <c r="AD5" t="s">
        <v>103</v>
      </c>
      <c r="AE5" s="5">
        <v>91</v>
      </c>
      <c r="AF5" s="5">
        <v>4E+20</v>
      </c>
      <c r="AG5" s="5">
        <v>0</v>
      </c>
      <c r="AH5" s="5">
        <v>91</v>
      </c>
      <c r="AI5" s="5">
        <v>91</v>
      </c>
      <c r="AL5" t="s">
        <v>108</v>
      </c>
      <c r="AM5" t="s">
        <v>109</v>
      </c>
      <c r="AN5" t="s">
        <v>72</v>
      </c>
      <c r="AO5" s="5">
        <v>1</v>
      </c>
      <c r="AP5" s="5">
        <v>4E+20</v>
      </c>
      <c r="AQ5" s="5">
        <v>0</v>
      </c>
      <c r="AR5" s="5">
        <v>1</v>
      </c>
      <c r="AS5" s="5">
        <v>1</v>
      </c>
    </row>
    <row r="6" spans="1:52" x14ac:dyDescent="0.25">
      <c r="C6" t="s">
        <v>75</v>
      </c>
      <c r="D6" t="s">
        <v>72</v>
      </c>
      <c r="E6" s="5">
        <v>0</v>
      </c>
      <c r="F6" s="5">
        <v>1</v>
      </c>
      <c r="G6" s="5">
        <v>2E+20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1</v>
      </c>
      <c r="P6" t="s">
        <v>90</v>
      </c>
      <c r="Q6" t="s">
        <v>91</v>
      </c>
      <c r="R6" t="s">
        <v>82</v>
      </c>
      <c r="S6" s="5">
        <v>0</v>
      </c>
      <c r="T6" s="5">
        <v>2E+20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L6" t="s">
        <v>110</v>
      </c>
      <c r="AM6" t="s">
        <v>107</v>
      </c>
      <c r="AN6" t="s">
        <v>72</v>
      </c>
      <c r="AO6" s="5">
        <v>735</v>
      </c>
      <c r="AP6" s="5">
        <v>4E+20</v>
      </c>
      <c r="AQ6" s="5">
        <v>0</v>
      </c>
      <c r="AR6" s="5">
        <v>735</v>
      </c>
      <c r="AS6" s="5">
        <v>735</v>
      </c>
    </row>
    <row r="7" spans="1:52" x14ac:dyDescent="0.25">
      <c r="C7" t="s">
        <v>76</v>
      </c>
      <c r="D7" t="s">
        <v>72</v>
      </c>
      <c r="E7" s="5">
        <v>0</v>
      </c>
      <c r="F7" s="5">
        <v>1</v>
      </c>
      <c r="G7" s="5">
        <v>2E+20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1</v>
      </c>
      <c r="P7" t="s">
        <v>80</v>
      </c>
      <c r="Q7" t="s">
        <v>91</v>
      </c>
      <c r="R7" t="s">
        <v>82</v>
      </c>
      <c r="S7" s="5">
        <v>5.33494275487016</v>
      </c>
      <c r="T7" s="5">
        <v>2E+20</v>
      </c>
      <c r="U7" s="5">
        <v>0</v>
      </c>
      <c r="V7" s="5">
        <v>5.33494275487016</v>
      </c>
      <c r="W7" s="5">
        <v>5.33494275487016</v>
      </c>
      <c r="X7" s="5">
        <v>0</v>
      </c>
      <c r="Y7" s="5">
        <v>15</v>
      </c>
      <c r="AL7" t="s">
        <v>111</v>
      </c>
      <c r="AM7" t="s">
        <v>109</v>
      </c>
      <c r="AN7" t="s">
        <v>72</v>
      </c>
      <c r="AO7" s="5">
        <v>735</v>
      </c>
      <c r="AP7" s="5">
        <v>4E+20</v>
      </c>
      <c r="AQ7" s="5">
        <v>0</v>
      </c>
      <c r="AR7" s="5">
        <v>735</v>
      </c>
      <c r="AS7" s="5">
        <v>735</v>
      </c>
    </row>
    <row r="8" spans="1:52" x14ac:dyDescent="0.25">
      <c r="C8" t="s">
        <v>77</v>
      </c>
      <c r="D8" t="s">
        <v>72</v>
      </c>
      <c r="E8" s="5">
        <v>0</v>
      </c>
      <c r="F8" s="5">
        <v>1</v>
      </c>
      <c r="G8" s="5">
        <v>2E+20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1</v>
      </c>
      <c r="P8" t="s">
        <v>83</v>
      </c>
      <c r="Q8" t="s">
        <v>91</v>
      </c>
      <c r="R8" t="s">
        <v>82</v>
      </c>
      <c r="S8" s="5">
        <v>0.64476609102739701</v>
      </c>
      <c r="T8" s="5">
        <v>2E+20</v>
      </c>
      <c r="U8" s="5">
        <v>0</v>
      </c>
      <c r="V8" s="5">
        <v>0.64476609102739701</v>
      </c>
      <c r="W8" s="5">
        <v>0.64476609102739701</v>
      </c>
      <c r="X8" s="5">
        <v>0</v>
      </c>
      <c r="Y8" s="5">
        <v>5</v>
      </c>
      <c r="AL8" t="s">
        <v>112</v>
      </c>
      <c r="AM8" t="s">
        <v>107</v>
      </c>
      <c r="AN8" t="s">
        <v>72</v>
      </c>
      <c r="AO8" s="5">
        <v>51</v>
      </c>
      <c r="AP8" s="5">
        <v>4E+20</v>
      </c>
      <c r="AQ8" s="5">
        <v>0</v>
      </c>
      <c r="AR8" s="5">
        <v>51</v>
      </c>
      <c r="AS8" s="5">
        <v>51</v>
      </c>
    </row>
    <row r="9" spans="1:52" x14ac:dyDescent="0.25">
      <c r="B9" t="s">
        <v>78</v>
      </c>
      <c r="C9" t="s">
        <v>71</v>
      </c>
      <c r="D9" t="s">
        <v>72</v>
      </c>
      <c r="E9" s="5">
        <v>0</v>
      </c>
      <c r="F9" s="5">
        <v>1</v>
      </c>
      <c r="G9" s="5">
        <v>2E+20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91</v>
      </c>
      <c r="P9" t="s">
        <v>84</v>
      </c>
      <c r="Q9" t="s">
        <v>91</v>
      </c>
      <c r="R9" t="s">
        <v>82</v>
      </c>
      <c r="S9" s="5">
        <v>1.1445507910916599</v>
      </c>
      <c r="T9" s="5">
        <v>2E+20</v>
      </c>
      <c r="U9" s="5">
        <v>0</v>
      </c>
      <c r="V9" s="5">
        <v>1.1445507910916599</v>
      </c>
      <c r="W9" s="5">
        <v>1.1445507910916599</v>
      </c>
      <c r="X9" s="5">
        <v>0</v>
      </c>
      <c r="Y9" s="5">
        <v>5</v>
      </c>
      <c r="AL9" t="s">
        <v>113</v>
      </c>
      <c r="AM9" t="s">
        <v>109</v>
      </c>
      <c r="AN9" t="s">
        <v>72</v>
      </c>
      <c r="AO9" s="5">
        <v>51</v>
      </c>
      <c r="AP9" s="5">
        <v>4E+20</v>
      </c>
      <c r="AQ9" s="5">
        <v>0</v>
      </c>
      <c r="AR9" s="5">
        <v>51</v>
      </c>
      <c r="AS9" s="5">
        <v>51</v>
      </c>
    </row>
    <row r="10" spans="1:52" x14ac:dyDescent="0.25">
      <c r="C10" t="s">
        <v>73</v>
      </c>
      <c r="D10" t="s">
        <v>72</v>
      </c>
      <c r="E10" s="5">
        <v>0</v>
      </c>
      <c r="F10" s="5">
        <v>1</v>
      </c>
      <c r="G10" s="5">
        <v>2E+20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91</v>
      </c>
      <c r="P10" t="s">
        <v>85</v>
      </c>
      <c r="Q10" t="s">
        <v>91</v>
      </c>
      <c r="R10" t="s">
        <v>82</v>
      </c>
      <c r="S10" s="5">
        <v>2.0992144957118501</v>
      </c>
      <c r="T10" s="5">
        <v>2E+20</v>
      </c>
      <c r="U10" s="5">
        <v>0</v>
      </c>
      <c r="V10" s="5">
        <v>2.0992144957118501</v>
      </c>
      <c r="W10" s="5">
        <v>2.0992144957118501</v>
      </c>
      <c r="X10" s="5">
        <v>0</v>
      </c>
      <c r="Y10" s="5">
        <v>9</v>
      </c>
      <c r="AL10" t="s">
        <v>114</v>
      </c>
      <c r="AM10" t="s">
        <v>107</v>
      </c>
      <c r="AN10" t="s">
        <v>72</v>
      </c>
      <c r="AO10" s="5">
        <v>100</v>
      </c>
      <c r="AP10" s="5">
        <v>4E+20</v>
      </c>
      <c r="AQ10" s="5">
        <v>0</v>
      </c>
      <c r="AR10" s="5">
        <v>100</v>
      </c>
      <c r="AS10" s="5">
        <v>100</v>
      </c>
    </row>
    <row r="11" spans="1:52" x14ac:dyDescent="0.25">
      <c r="C11" t="s">
        <v>74</v>
      </c>
      <c r="D11" t="s">
        <v>72</v>
      </c>
      <c r="E11" s="5">
        <v>0</v>
      </c>
      <c r="F11" s="5">
        <v>1</v>
      </c>
      <c r="G11" s="5">
        <v>2E+20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91</v>
      </c>
      <c r="P11" t="s">
        <v>92</v>
      </c>
      <c r="Q11" t="s">
        <v>93</v>
      </c>
      <c r="R11" t="s">
        <v>94</v>
      </c>
      <c r="S11" s="5">
        <v>0.81652954821607504</v>
      </c>
      <c r="T11" s="5">
        <v>2E+20</v>
      </c>
      <c r="U11" s="5">
        <v>0</v>
      </c>
      <c r="V11" s="5">
        <v>0.81652954821607504</v>
      </c>
      <c r="W11" s="5">
        <v>0.81652954821607504</v>
      </c>
      <c r="X11" s="5">
        <v>0</v>
      </c>
      <c r="Y11" s="5">
        <v>1</v>
      </c>
      <c r="AL11" t="s">
        <v>115</v>
      </c>
      <c r="AM11" t="s">
        <v>109</v>
      </c>
      <c r="AN11" t="s">
        <v>72</v>
      </c>
      <c r="AO11" s="5">
        <v>100</v>
      </c>
      <c r="AP11" s="5">
        <v>4E+20</v>
      </c>
      <c r="AQ11" s="5">
        <v>0</v>
      </c>
      <c r="AR11" s="5">
        <v>100</v>
      </c>
      <c r="AS11" s="5">
        <v>100</v>
      </c>
    </row>
    <row r="12" spans="1:52" x14ac:dyDescent="0.25">
      <c r="C12" t="s">
        <v>75</v>
      </c>
      <c r="D12" t="s">
        <v>72</v>
      </c>
      <c r="E12" s="5">
        <v>0</v>
      </c>
      <c r="F12" s="5">
        <v>1</v>
      </c>
      <c r="G12" s="5">
        <v>2E+20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91</v>
      </c>
      <c r="Q12" t="s">
        <v>95</v>
      </c>
      <c r="R12" t="s">
        <v>94</v>
      </c>
      <c r="S12" s="5">
        <v>3.2661181928643002</v>
      </c>
      <c r="T12" s="5">
        <v>2E+20</v>
      </c>
      <c r="U12" s="5">
        <v>0</v>
      </c>
      <c r="V12" s="5">
        <v>3.2661181928643002</v>
      </c>
      <c r="W12" s="5">
        <v>3.2661181928643002</v>
      </c>
      <c r="X12" s="5">
        <v>0</v>
      </c>
      <c r="Y12" s="5">
        <v>4</v>
      </c>
      <c r="AL12" t="s">
        <v>116</v>
      </c>
      <c r="AM12" t="s">
        <v>117</v>
      </c>
      <c r="AN12" t="s">
        <v>94</v>
      </c>
      <c r="AO12" s="5">
        <v>106</v>
      </c>
      <c r="AP12" s="5">
        <v>4E+20</v>
      </c>
      <c r="AQ12" s="5">
        <v>0</v>
      </c>
      <c r="AR12" s="5">
        <v>106</v>
      </c>
      <c r="AS12" s="5">
        <v>106</v>
      </c>
    </row>
    <row r="13" spans="1:52" x14ac:dyDescent="0.25">
      <c r="C13" t="s">
        <v>76</v>
      </c>
      <c r="D13" t="s">
        <v>72</v>
      </c>
      <c r="E13" s="5">
        <v>0</v>
      </c>
      <c r="F13" s="5">
        <v>1</v>
      </c>
      <c r="G13" s="5">
        <v>2E+20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91</v>
      </c>
      <c r="Q13" t="s">
        <v>96</v>
      </c>
      <c r="R13" t="s">
        <v>94</v>
      </c>
      <c r="S13" s="5">
        <v>4</v>
      </c>
      <c r="T13" s="5">
        <v>2E+20</v>
      </c>
      <c r="U13" s="5">
        <v>0</v>
      </c>
      <c r="V13" s="5">
        <v>4</v>
      </c>
      <c r="W13" s="5">
        <v>4</v>
      </c>
      <c r="X13" s="5">
        <v>4</v>
      </c>
      <c r="Y13" s="5">
        <v>4</v>
      </c>
      <c r="AL13" t="s">
        <v>118</v>
      </c>
      <c r="AM13" t="s">
        <v>119</v>
      </c>
      <c r="AN13" t="s">
        <v>94</v>
      </c>
      <c r="AO13" s="5">
        <v>0.81652954821607504</v>
      </c>
      <c r="AP13" s="5">
        <v>4E+20</v>
      </c>
      <c r="AQ13" s="5">
        <v>0</v>
      </c>
      <c r="AR13" s="5">
        <v>0.81652954821607504</v>
      </c>
      <c r="AS13" s="5">
        <v>0.81652954821607504</v>
      </c>
    </row>
    <row r="14" spans="1:52" x14ac:dyDescent="0.25">
      <c r="C14" t="s">
        <v>77</v>
      </c>
      <c r="D14" t="s">
        <v>72</v>
      </c>
      <c r="E14" s="5">
        <v>0</v>
      </c>
      <c r="F14" s="5">
        <v>1</v>
      </c>
      <c r="G14" s="5">
        <v>2E+20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91</v>
      </c>
      <c r="P14" t="s">
        <v>86</v>
      </c>
      <c r="Q14" t="s">
        <v>89</v>
      </c>
      <c r="R14" t="s">
        <v>72</v>
      </c>
      <c r="S14" s="5">
        <v>4.9807404544391902</v>
      </c>
      <c r="T14" s="5">
        <v>2E+20</v>
      </c>
      <c r="U14" s="5">
        <v>0</v>
      </c>
      <c r="V14" s="5">
        <v>4.9807404544391902</v>
      </c>
      <c r="W14" s="5">
        <v>4.9807404544391902</v>
      </c>
      <c r="X14" s="5">
        <v>0</v>
      </c>
      <c r="Y14" s="5">
        <v>12</v>
      </c>
      <c r="AL14" t="s">
        <v>122</v>
      </c>
      <c r="AM14" t="s">
        <v>117</v>
      </c>
      <c r="AN14" t="s">
        <v>94</v>
      </c>
      <c r="AO14" s="5">
        <v>132</v>
      </c>
      <c r="AP14" s="5">
        <v>4E+20</v>
      </c>
      <c r="AQ14" s="5">
        <v>0</v>
      </c>
      <c r="AR14" s="5">
        <v>132</v>
      </c>
      <c r="AS14" s="5">
        <v>132</v>
      </c>
    </row>
    <row r="15" spans="1:52" x14ac:dyDescent="0.25">
      <c r="B15" t="s">
        <v>79</v>
      </c>
      <c r="C15" t="s">
        <v>71</v>
      </c>
      <c r="D15" t="s">
        <v>72</v>
      </c>
      <c r="E15" s="5">
        <v>0</v>
      </c>
      <c r="F15" s="5">
        <v>1</v>
      </c>
      <c r="G15" s="5">
        <v>2E+20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51</v>
      </c>
      <c r="P15" t="s">
        <v>87</v>
      </c>
      <c r="Q15" t="s">
        <v>91</v>
      </c>
      <c r="R15" t="s">
        <v>82</v>
      </c>
      <c r="S15" s="5">
        <v>0</v>
      </c>
      <c r="T15" s="5">
        <v>2E+20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L15" t="s">
        <v>123</v>
      </c>
      <c r="AM15" t="s">
        <v>119</v>
      </c>
      <c r="AN15" t="s">
        <v>94</v>
      </c>
      <c r="AO15" s="5">
        <v>0.95668263177997903</v>
      </c>
      <c r="AP15" s="5">
        <v>4E+20</v>
      </c>
      <c r="AQ15" s="5">
        <v>0</v>
      </c>
      <c r="AR15" s="5">
        <v>0.95668263177997903</v>
      </c>
      <c r="AS15" s="5">
        <v>0.95668263177997903</v>
      </c>
    </row>
    <row r="16" spans="1:52" x14ac:dyDescent="0.25">
      <c r="C16" t="s">
        <v>73</v>
      </c>
      <c r="D16" t="s">
        <v>72</v>
      </c>
      <c r="E16" s="5">
        <v>3.7438051337529998</v>
      </c>
      <c r="F16" s="5">
        <v>1</v>
      </c>
      <c r="G16" s="5">
        <v>2E+20</v>
      </c>
      <c r="H16" s="5">
        <v>0</v>
      </c>
      <c r="I16" s="5">
        <v>3.7438051337529998</v>
      </c>
      <c r="J16" s="5">
        <v>3.7438051337529998</v>
      </c>
      <c r="K16" s="5">
        <v>2.4792193430949001</v>
      </c>
      <c r="L16" s="5">
        <v>7.5252872129322697</v>
      </c>
      <c r="M16" s="5">
        <v>51</v>
      </c>
      <c r="P16" t="s">
        <v>97</v>
      </c>
      <c r="Q16" t="s">
        <v>93</v>
      </c>
      <c r="R16" t="s">
        <v>94</v>
      </c>
      <c r="S16" s="5">
        <v>0.95668263177997903</v>
      </c>
      <c r="T16" s="5">
        <v>2E+20</v>
      </c>
      <c r="U16" s="5">
        <v>0</v>
      </c>
      <c r="V16" s="5">
        <v>0.95668263177997903</v>
      </c>
      <c r="W16" s="5">
        <v>0.95668263177997903</v>
      </c>
      <c r="X16" s="5">
        <v>0</v>
      </c>
      <c r="Y16" s="5">
        <v>1</v>
      </c>
      <c r="AL16" t="s">
        <v>124</v>
      </c>
      <c r="AM16" t="s">
        <v>117</v>
      </c>
      <c r="AN16" t="s">
        <v>94</v>
      </c>
      <c r="AO16" s="5">
        <v>162</v>
      </c>
      <c r="AP16" s="5">
        <v>4E+20</v>
      </c>
      <c r="AQ16" s="5">
        <v>0</v>
      </c>
      <c r="AR16" s="5">
        <v>162</v>
      </c>
      <c r="AS16" s="5">
        <v>162</v>
      </c>
    </row>
    <row r="17" spans="2:45" x14ac:dyDescent="0.25">
      <c r="C17" t="s">
        <v>74</v>
      </c>
      <c r="D17" t="s">
        <v>72</v>
      </c>
      <c r="E17" s="5">
        <v>8.1962762735749504</v>
      </c>
      <c r="F17" s="5">
        <v>1</v>
      </c>
      <c r="G17" s="5">
        <v>2E+20</v>
      </c>
      <c r="H17" s="5">
        <v>0</v>
      </c>
      <c r="I17" s="5">
        <v>8.1962762735749504</v>
      </c>
      <c r="J17" s="5">
        <v>8.1962762735749504</v>
      </c>
      <c r="K17" s="5">
        <v>2.4792193430949001</v>
      </c>
      <c r="L17" s="5">
        <v>116.73203817416</v>
      </c>
      <c r="M17" s="5">
        <v>51</v>
      </c>
      <c r="Q17" t="s">
        <v>95</v>
      </c>
      <c r="R17" t="s">
        <v>94</v>
      </c>
      <c r="S17" s="5">
        <v>1.9133652635599601</v>
      </c>
      <c r="T17" s="5">
        <v>2E+20</v>
      </c>
      <c r="U17" s="5">
        <v>0</v>
      </c>
      <c r="V17" s="5">
        <v>1.9133652635599601</v>
      </c>
      <c r="W17" s="5">
        <v>1.9133652635599601</v>
      </c>
      <c r="X17" s="5">
        <v>0</v>
      </c>
      <c r="Y17" s="5">
        <v>2</v>
      </c>
      <c r="AL17" t="s">
        <v>125</v>
      </c>
      <c r="AM17" t="s">
        <v>119</v>
      </c>
      <c r="AN17" t="s">
        <v>94</v>
      </c>
      <c r="AO17" s="5">
        <v>0.75884892869016196</v>
      </c>
      <c r="AP17" s="5">
        <v>4E+20</v>
      </c>
      <c r="AQ17" s="5">
        <v>0</v>
      </c>
      <c r="AR17" s="5">
        <v>0.75884892869016196</v>
      </c>
      <c r="AS17" s="5">
        <v>0.75884892869016196</v>
      </c>
    </row>
    <row r="18" spans="2:45" x14ac:dyDescent="0.25">
      <c r="C18" t="s">
        <v>75</v>
      </c>
      <c r="D18" t="s">
        <v>72</v>
      </c>
      <c r="E18" s="5">
        <v>0</v>
      </c>
      <c r="F18" s="5">
        <v>1</v>
      </c>
      <c r="G18" s="5">
        <v>2E+20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51</v>
      </c>
      <c r="Q18" t="s">
        <v>96</v>
      </c>
      <c r="R18" t="s">
        <v>94</v>
      </c>
      <c r="S18" s="5">
        <v>2</v>
      </c>
      <c r="T18" s="5">
        <v>2E+20</v>
      </c>
      <c r="U18" s="5">
        <v>0</v>
      </c>
      <c r="V18" s="5">
        <v>2</v>
      </c>
      <c r="W18" s="5">
        <v>2</v>
      </c>
      <c r="X18" s="5">
        <v>2</v>
      </c>
      <c r="Y18" s="5">
        <v>2</v>
      </c>
      <c r="AL18" t="s">
        <v>126</v>
      </c>
      <c r="AM18" t="s">
        <v>117</v>
      </c>
      <c r="AN18" t="s">
        <v>94</v>
      </c>
      <c r="AO18" s="5">
        <v>198</v>
      </c>
      <c r="AP18" s="5">
        <v>4E+20</v>
      </c>
      <c r="AQ18" s="5">
        <v>0</v>
      </c>
      <c r="AR18" s="5">
        <v>198</v>
      </c>
      <c r="AS18" s="5">
        <v>198</v>
      </c>
    </row>
    <row r="19" spans="2:45" x14ac:dyDescent="0.25">
      <c r="C19" t="s">
        <v>76</v>
      </c>
      <c r="D19" t="s">
        <v>72</v>
      </c>
      <c r="E19" s="5">
        <v>0</v>
      </c>
      <c r="F19" s="5">
        <v>1</v>
      </c>
      <c r="G19" s="5">
        <v>2E+20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51</v>
      </c>
      <c r="P19" t="s">
        <v>98</v>
      </c>
      <c r="Q19" t="s">
        <v>93</v>
      </c>
      <c r="R19" t="s">
        <v>94</v>
      </c>
      <c r="S19" s="5">
        <v>0.75884892869016196</v>
      </c>
      <c r="T19" s="5">
        <v>2E+20</v>
      </c>
      <c r="U19" s="5">
        <v>0</v>
      </c>
      <c r="V19" s="5">
        <v>0.75884892869016196</v>
      </c>
      <c r="W19" s="5">
        <v>0.75884892869016196</v>
      </c>
      <c r="X19" s="5">
        <v>0</v>
      </c>
      <c r="Y19" s="5">
        <v>1</v>
      </c>
      <c r="AL19" t="s">
        <v>127</v>
      </c>
      <c r="AM19" t="s">
        <v>119</v>
      </c>
      <c r="AN19" t="s">
        <v>94</v>
      </c>
      <c r="AO19" s="5">
        <v>0.88675176100051301</v>
      </c>
      <c r="AP19" s="5">
        <v>4E+20</v>
      </c>
      <c r="AQ19" s="5">
        <v>0</v>
      </c>
      <c r="AR19" s="5">
        <v>0.88675176100051301</v>
      </c>
      <c r="AS19" s="5">
        <v>0.88675176100051301</v>
      </c>
    </row>
    <row r="20" spans="2:45" x14ac:dyDescent="0.25">
      <c r="C20" t="s">
        <v>77</v>
      </c>
      <c r="D20" t="s">
        <v>72</v>
      </c>
      <c r="E20" s="5">
        <v>4.4524711398219496</v>
      </c>
      <c r="F20" s="5">
        <v>1</v>
      </c>
      <c r="G20" s="5">
        <v>2E+20</v>
      </c>
      <c r="H20" s="5">
        <v>0</v>
      </c>
      <c r="I20" s="5">
        <v>4.4524711398219496</v>
      </c>
      <c r="J20" s="5">
        <v>4.4524711398219496</v>
      </c>
      <c r="K20" s="5">
        <v>0</v>
      </c>
      <c r="L20" s="5">
        <v>110.709165323538</v>
      </c>
      <c r="M20" s="5">
        <v>51</v>
      </c>
      <c r="Q20" t="s">
        <v>95</v>
      </c>
      <c r="R20" t="s">
        <v>94</v>
      </c>
      <c r="S20" s="5">
        <v>2.2765467860704902</v>
      </c>
      <c r="T20" s="5">
        <v>2E+20</v>
      </c>
      <c r="U20" s="5">
        <v>0</v>
      </c>
      <c r="V20" s="5">
        <v>2.2765467860704902</v>
      </c>
      <c r="W20" s="5">
        <v>2.2765467860704902</v>
      </c>
      <c r="X20" s="5">
        <v>0</v>
      </c>
      <c r="Y20" s="5">
        <v>3</v>
      </c>
      <c r="AL20" t="s">
        <v>128</v>
      </c>
      <c r="AM20" t="s">
        <v>107</v>
      </c>
      <c r="AN20" t="s">
        <v>72</v>
      </c>
      <c r="AO20" s="5">
        <v>492</v>
      </c>
      <c r="AP20" s="5">
        <v>4E+20</v>
      </c>
      <c r="AQ20" s="5">
        <v>0</v>
      </c>
      <c r="AR20" s="5">
        <v>492</v>
      </c>
      <c r="AS20" s="5">
        <v>492</v>
      </c>
    </row>
    <row r="21" spans="2:45" x14ac:dyDescent="0.25">
      <c r="B21" t="s">
        <v>80</v>
      </c>
      <c r="C21" t="s">
        <v>81</v>
      </c>
      <c r="D21" t="s">
        <v>82</v>
      </c>
      <c r="E21" s="5">
        <v>25.7528061044598</v>
      </c>
      <c r="F21" s="5">
        <v>1</v>
      </c>
      <c r="G21" s="5">
        <v>2E+20</v>
      </c>
      <c r="H21" s="5">
        <v>0</v>
      </c>
      <c r="I21" s="5">
        <v>25.7528061044598</v>
      </c>
      <c r="J21" s="5">
        <v>25.7528061044598</v>
      </c>
      <c r="K21" s="5">
        <v>0</v>
      </c>
      <c r="L21" s="5">
        <v>55.448830613305503</v>
      </c>
      <c r="M21" s="5">
        <v>132</v>
      </c>
      <c r="Q21" t="s">
        <v>96</v>
      </c>
      <c r="R21" t="s">
        <v>94</v>
      </c>
      <c r="S21" s="5">
        <v>3</v>
      </c>
      <c r="T21" s="5">
        <v>2E+20</v>
      </c>
      <c r="U21" s="5">
        <v>0</v>
      </c>
      <c r="V21" s="5">
        <v>3</v>
      </c>
      <c r="W21" s="5">
        <v>3</v>
      </c>
      <c r="X21" s="5">
        <v>3</v>
      </c>
      <c r="Y21" s="5">
        <v>3</v>
      </c>
      <c r="AL21" t="s">
        <v>129</v>
      </c>
      <c r="AM21" t="s">
        <v>109</v>
      </c>
      <c r="AN21" t="s">
        <v>72</v>
      </c>
      <c r="AO21" s="5">
        <v>492</v>
      </c>
      <c r="AP21" s="5">
        <v>4E+20</v>
      </c>
      <c r="AQ21" s="5">
        <v>0</v>
      </c>
      <c r="AR21" s="5">
        <v>492</v>
      </c>
      <c r="AS21" s="5">
        <v>492</v>
      </c>
    </row>
    <row r="22" spans="2:45" x14ac:dyDescent="0.25">
      <c r="B22" t="s">
        <v>83</v>
      </c>
      <c r="C22" t="s">
        <v>81</v>
      </c>
      <c r="D22" t="s">
        <v>82</v>
      </c>
      <c r="E22" s="5">
        <v>2.5360388385411499</v>
      </c>
      <c r="F22" s="5">
        <v>1</v>
      </c>
      <c r="G22" s="5">
        <v>2E+20</v>
      </c>
      <c r="H22" s="5">
        <v>0</v>
      </c>
      <c r="I22" s="5">
        <v>2.5360388385411499</v>
      </c>
      <c r="J22" s="5">
        <v>2.5360388385411499</v>
      </c>
      <c r="K22" s="5">
        <v>0</v>
      </c>
      <c r="L22" s="5">
        <v>13.9285767702473</v>
      </c>
      <c r="M22" s="5">
        <v>162</v>
      </c>
      <c r="P22" t="s">
        <v>99</v>
      </c>
      <c r="Q22" t="s">
        <v>93</v>
      </c>
      <c r="R22" t="s">
        <v>94</v>
      </c>
      <c r="S22" s="5">
        <v>0.88675176100051301</v>
      </c>
      <c r="T22" s="5">
        <v>2E+20</v>
      </c>
      <c r="U22" s="5">
        <v>0</v>
      </c>
      <c r="V22" s="5">
        <v>0.88675176100051301</v>
      </c>
      <c r="W22" s="5">
        <v>0.88675176100051301</v>
      </c>
      <c r="X22" s="5">
        <v>0</v>
      </c>
      <c r="Y22" s="5">
        <v>1</v>
      </c>
      <c r="AL22" t="s">
        <v>130</v>
      </c>
      <c r="AM22" t="s">
        <v>117</v>
      </c>
      <c r="AN22" t="s">
        <v>94</v>
      </c>
      <c r="AO22" s="5">
        <v>643</v>
      </c>
      <c r="AP22" s="5">
        <v>4E+20</v>
      </c>
      <c r="AQ22" s="5">
        <v>0</v>
      </c>
      <c r="AR22" s="5">
        <v>643</v>
      </c>
      <c r="AS22" s="5">
        <v>643</v>
      </c>
    </row>
    <row r="23" spans="2:45" x14ac:dyDescent="0.25">
      <c r="B23" t="s">
        <v>84</v>
      </c>
      <c r="C23" t="s">
        <v>81</v>
      </c>
      <c r="D23" t="s">
        <v>82</v>
      </c>
      <c r="E23" s="5">
        <v>3.6833128244012499</v>
      </c>
      <c r="F23" s="5">
        <v>1</v>
      </c>
      <c r="G23" s="5">
        <v>2E+20</v>
      </c>
      <c r="H23" s="5">
        <v>0</v>
      </c>
      <c r="I23" s="5">
        <v>3.6833128244012499</v>
      </c>
      <c r="J23" s="5">
        <v>3.6833128244012499</v>
      </c>
      <c r="K23" s="5">
        <v>0</v>
      </c>
      <c r="L23" s="5">
        <v>13.877365122289101</v>
      </c>
      <c r="M23" s="5">
        <v>198</v>
      </c>
      <c r="Q23" t="s">
        <v>95</v>
      </c>
      <c r="R23" t="s">
        <v>94</v>
      </c>
      <c r="S23" s="5">
        <v>2.6602552830015398</v>
      </c>
      <c r="T23" s="5">
        <v>2E+20</v>
      </c>
      <c r="U23" s="5">
        <v>0</v>
      </c>
      <c r="V23" s="5">
        <v>2.6602552830015398</v>
      </c>
      <c r="W23" s="5">
        <v>2.6602552830015398</v>
      </c>
      <c r="X23" s="5">
        <v>0</v>
      </c>
      <c r="Y23" s="5">
        <v>3</v>
      </c>
      <c r="AL23" t="s">
        <v>131</v>
      </c>
      <c r="AM23" t="s">
        <v>119</v>
      </c>
      <c r="AN23" t="s">
        <v>94</v>
      </c>
      <c r="AO23" s="5">
        <v>0.77552450288652297</v>
      </c>
      <c r="AP23" s="5">
        <v>4E+20</v>
      </c>
      <c r="AQ23" s="5">
        <v>0</v>
      </c>
      <c r="AR23" s="5">
        <v>0.77552450288652297</v>
      </c>
      <c r="AS23" s="5">
        <v>0.77552450288652297</v>
      </c>
    </row>
    <row r="24" spans="2:45" x14ac:dyDescent="0.25">
      <c r="B24" t="s">
        <v>85</v>
      </c>
      <c r="C24" t="s">
        <v>81</v>
      </c>
      <c r="D24" t="s">
        <v>82</v>
      </c>
      <c r="E24" s="5">
        <v>12.618847063862001</v>
      </c>
      <c r="F24" s="5">
        <v>1</v>
      </c>
      <c r="G24" s="5">
        <v>2E+20</v>
      </c>
      <c r="H24" s="5">
        <v>0</v>
      </c>
      <c r="I24" s="5">
        <v>12.618847063862001</v>
      </c>
      <c r="J24" s="5">
        <v>12.618847063862001</v>
      </c>
      <c r="K24" s="5">
        <v>0</v>
      </c>
      <c r="L24" s="5">
        <v>110.709165323538</v>
      </c>
      <c r="M24" s="5">
        <v>106</v>
      </c>
      <c r="Q24" t="s">
        <v>96</v>
      </c>
      <c r="R24" t="s">
        <v>94</v>
      </c>
      <c r="S24" s="5">
        <v>3</v>
      </c>
      <c r="T24" s="5">
        <v>2E+20</v>
      </c>
      <c r="U24" s="5">
        <v>0</v>
      </c>
      <c r="V24" s="5">
        <v>3</v>
      </c>
      <c r="W24" s="5">
        <v>3</v>
      </c>
      <c r="X24" s="5">
        <v>3</v>
      </c>
      <c r="Y24" s="5">
        <v>3</v>
      </c>
    </row>
    <row r="25" spans="2:45" x14ac:dyDescent="0.25">
      <c r="B25" t="s">
        <v>86</v>
      </c>
      <c r="C25" t="s">
        <v>71</v>
      </c>
      <c r="D25" t="s">
        <v>72</v>
      </c>
      <c r="E25" s="5">
        <v>0</v>
      </c>
      <c r="F25" s="5">
        <v>1</v>
      </c>
      <c r="G25" s="5">
        <v>2E+20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100</v>
      </c>
      <c r="P25" t="s">
        <v>88</v>
      </c>
      <c r="Q25" t="s">
        <v>89</v>
      </c>
      <c r="R25" t="s">
        <v>72</v>
      </c>
      <c r="S25" s="5">
        <v>14.204614083706</v>
      </c>
      <c r="T25" s="5">
        <v>3E+20</v>
      </c>
      <c r="U25" s="5">
        <v>0</v>
      </c>
      <c r="V25" s="5">
        <v>14.204614083706</v>
      </c>
      <c r="W25" s="5">
        <v>14.204614083706</v>
      </c>
      <c r="X25" s="5">
        <v>0</v>
      </c>
      <c r="Y25" s="5">
        <v>24</v>
      </c>
    </row>
    <row r="26" spans="2:45" x14ac:dyDescent="0.25">
      <c r="C26" t="s">
        <v>73</v>
      </c>
      <c r="D26" t="s">
        <v>72</v>
      </c>
      <c r="E26" s="5">
        <v>0.31701609927145202</v>
      </c>
      <c r="F26" s="5">
        <v>1</v>
      </c>
      <c r="G26" s="5">
        <v>2E+20</v>
      </c>
      <c r="H26" s="5">
        <v>0</v>
      </c>
      <c r="I26" s="5">
        <v>0.31701609927145202</v>
      </c>
      <c r="J26" s="5">
        <v>0.31701609927145202</v>
      </c>
      <c r="K26" s="5">
        <v>0.100708315439533</v>
      </c>
      <c r="L26" s="5">
        <v>0.596573227058116</v>
      </c>
      <c r="M26" s="5">
        <v>100</v>
      </c>
      <c r="P26" t="s">
        <v>100</v>
      </c>
      <c r="Q26" t="s">
        <v>93</v>
      </c>
      <c r="R26" t="s">
        <v>94</v>
      </c>
      <c r="S26" s="5">
        <v>0.77552450288652297</v>
      </c>
      <c r="T26" s="5">
        <v>3E+20</v>
      </c>
      <c r="U26" s="5">
        <v>0</v>
      </c>
      <c r="V26" s="5">
        <v>0.77552450288652297</v>
      </c>
      <c r="W26" s="5">
        <v>0.77552450288652297</v>
      </c>
      <c r="X26" s="5">
        <v>0</v>
      </c>
      <c r="Y26" s="5">
        <v>1</v>
      </c>
    </row>
    <row r="27" spans="2:45" x14ac:dyDescent="0.25">
      <c r="C27" t="s">
        <v>74</v>
      </c>
      <c r="D27" t="s">
        <v>72</v>
      </c>
      <c r="E27" s="5">
        <v>32.053779692992897</v>
      </c>
      <c r="F27" s="5">
        <v>1</v>
      </c>
      <c r="G27" s="5">
        <v>2E+20</v>
      </c>
      <c r="H27" s="5">
        <v>0</v>
      </c>
      <c r="I27" s="5">
        <v>32.053779692992897</v>
      </c>
      <c r="J27" s="5">
        <v>32.053779692992897</v>
      </c>
      <c r="K27" s="5">
        <v>6.5884965913086297</v>
      </c>
      <c r="L27" s="5">
        <v>74.533007375472806</v>
      </c>
      <c r="M27" s="5">
        <v>100</v>
      </c>
      <c r="Q27" t="s">
        <v>95</v>
      </c>
      <c r="R27" t="s">
        <v>94</v>
      </c>
      <c r="S27" s="5">
        <v>20.1636370750496</v>
      </c>
      <c r="T27" s="5">
        <v>3E+20</v>
      </c>
      <c r="U27" s="5">
        <v>0</v>
      </c>
      <c r="V27" s="5">
        <v>20.1636370750496</v>
      </c>
      <c r="W27" s="5">
        <v>20.1636370750496</v>
      </c>
      <c r="X27" s="5">
        <v>0</v>
      </c>
      <c r="Y27" s="5">
        <v>26</v>
      </c>
    </row>
    <row r="28" spans="2:45" x14ac:dyDescent="0.25">
      <c r="C28" t="s">
        <v>75</v>
      </c>
      <c r="D28" t="s">
        <v>72</v>
      </c>
      <c r="E28" s="5">
        <v>0</v>
      </c>
      <c r="F28" s="5">
        <v>1</v>
      </c>
      <c r="G28" s="5">
        <v>2E+20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100</v>
      </c>
      <c r="Q28" t="s">
        <v>96</v>
      </c>
      <c r="R28" t="s">
        <v>94</v>
      </c>
      <c r="S28" s="5">
        <v>26</v>
      </c>
      <c r="T28" s="5">
        <v>2E+20</v>
      </c>
      <c r="U28" s="5">
        <v>0</v>
      </c>
      <c r="V28" s="5">
        <v>26</v>
      </c>
      <c r="W28" s="5">
        <v>26</v>
      </c>
      <c r="X28" s="5">
        <v>26</v>
      </c>
      <c r="Y28" s="5">
        <v>26</v>
      </c>
    </row>
    <row r="29" spans="2:45" x14ac:dyDescent="0.25">
      <c r="C29" t="s">
        <v>76</v>
      </c>
      <c r="D29" t="s">
        <v>72</v>
      </c>
      <c r="E29" s="5">
        <v>20.631545987336899</v>
      </c>
      <c r="F29" s="5">
        <v>1</v>
      </c>
      <c r="G29" s="5">
        <v>2E+20</v>
      </c>
      <c r="H29" s="5">
        <v>0</v>
      </c>
      <c r="I29" s="5">
        <v>20.631545987336899</v>
      </c>
      <c r="J29" s="5">
        <v>20.631545987336899</v>
      </c>
      <c r="K29" s="5">
        <v>6.0402717898131799</v>
      </c>
      <c r="L29" s="5">
        <v>42.375032280898601</v>
      </c>
      <c r="M29" s="5">
        <v>100</v>
      </c>
    </row>
    <row r="30" spans="2:45" x14ac:dyDescent="0.25">
      <c r="C30" t="s">
        <v>77</v>
      </c>
      <c r="D30" t="s">
        <v>72</v>
      </c>
      <c r="E30" s="5">
        <v>11.105217606384601</v>
      </c>
      <c r="F30" s="5">
        <v>1</v>
      </c>
      <c r="G30" s="5">
        <v>2E+20</v>
      </c>
      <c r="H30" s="5">
        <v>0</v>
      </c>
      <c r="I30" s="5">
        <v>11.105217606384601</v>
      </c>
      <c r="J30" s="5">
        <v>11.105217606384601</v>
      </c>
      <c r="K30" s="5">
        <v>0</v>
      </c>
      <c r="L30" s="5">
        <v>45.354629350394099</v>
      </c>
      <c r="M30" s="5">
        <v>100</v>
      </c>
    </row>
    <row r="31" spans="2:45" x14ac:dyDescent="0.25">
      <c r="B31" t="s">
        <v>87</v>
      </c>
      <c r="C31" t="s">
        <v>81</v>
      </c>
      <c r="D31" t="s">
        <v>82</v>
      </c>
      <c r="E31" s="5">
        <v>0</v>
      </c>
      <c r="F31" s="5">
        <v>1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643</v>
      </c>
    </row>
    <row r="32" spans="2:45" x14ac:dyDescent="0.25">
      <c r="B32" t="s">
        <v>88</v>
      </c>
      <c r="C32" t="s">
        <v>71</v>
      </c>
      <c r="D32" t="s">
        <v>72</v>
      </c>
      <c r="E32" s="5">
        <v>0</v>
      </c>
      <c r="F32" s="5">
        <v>1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492</v>
      </c>
    </row>
    <row r="33" spans="3:13" x14ac:dyDescent="0.25">
      <c r="C33" t="s">
        <v>73</v>
      </c>
      <c r="D33" t="s">
        <v>72</v>
      </c>
      <c r="E33" s="5">
        <v>0.65104202541697398</v>
      </c>
      <c r="F33" s="5">
        <v>1</v>
      </c>
      <c r="G33" s="5">
        <v>1.6095393029091101E-2</v>
      </c>
      <c r="H33" s="5">
        <v>0</v>
      </c>
      <c r="I33" s="5">
        <v>0.65104202541697398</v>
      </c>
      <c r="J33" s="5">
        <v>0.65104202541697398</v>
      </c>
      <c r="K33" s="5">
        <v>0.20414502573351001</v>
      </c>
      <c r="L33" s="5">
        <v>1.0565806673898801</v>
      </c>
      <c r="M33" s="5">
        <v>492</v>
      </c>
    </row>
    <row r="34" spans="3:13" x14ac:dyDescent="0.25">
      <c r="C34" t="s">
        <v>74</v>
      </c>
      <c r="D34" t="s">
        <v>72</v>
      </c>
      <c r="E34" s="5">
        <v>18.7493357025674</v>
      </c>
      <c r="F34" s="5">
        <v>1</v>
      </c>
      <c r="G34" s="5">
        <v>3E+20</v>
      </c>
      <c r="H34" s="5">
        <v>0</v>
      </c>
      <c r="I34" s="5">
        <v>18.7493357025674</v>
      </c>
      <c r="J34" s="5">
        <v>18.7493357025674</v>
      </c>
      <c r="K34" s="5">
        <v>3.9936186977993602</v>
      </c>
      <c r="L34" s="5">
        <v>71.410240256673305</v>
      </c>
      <c r="M34" s="5">
        <v>492</v>
      </c>
    </row>
    <row r="35" spans="3:13" x14ac:dyDescent="0.25">
      <c r="C35" t="s">
        <v>75</v>
      </c>
      <c r="D35" t="s">
        <v>72</v>
      </c>
      <c r="E35" s="5">
        <v>0</v>
      </c>
      <c r="F35" s="5">
        <v>1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492</v>
      </c>
    </row>
    <row r="36" spans="3:13" x14ac:dyDescent="0.25">
      <c r="C36" t="s">
        <v>76</v>
      </c>
      <c r="D36" t="s">
        <v>72</v>
      </c>
      <c r="E36" s="5">
        <v>8.8716582363703598</v>
      </c>
      <c r="F36" s="5">
        <v>1</v>
      </c>
      <c r="G36" s="5">
        <v>0.298461574776681</v>
      </c>
      <c r="H36" s="5">
        <v>0</v>
      </c>
      <c r="I36" s="5">
        <v>8.8716582363703598</v>
      </c>
      <c r="J36" s="5">
        <v>8.8716582363703598</v>
      </c>
      <c r="K36" s="5">
        <v>3.3753799108626499</v>
      </c>
      <c r="L36" s="5">
        <v>17.360695362498401</v>
      </c>
      <c r="M36" s="5">
        <v>492</v>
      </c>
    </row>
    <row r="37" spans="3:13" x14ac:dyDescent="0.25">
      <c r="C37" t="s">
        <v>77</v>
      </c>
      <c r="D37" t="s">
        <v>72</v>
      </c>
      <c r="E37" s="5">
        <v>9.2266354407801092</v>
      </c>
      <c r="F37" s="5">
        <v>1</v>
      </c>
      <c r="G37" s="5">
        <v>3E+20</v>
      </c>
      <c r="H37" s="5">
        <v>0</v>
      </c>
      <c r="I37" s="5">
        <v>9.2266354407801092</v>
      </c>
      <c r="J37" s="5">
        <v>9.2266354407801092</v>
      </c>
      <c r="K37" s="5">
        <v>0</v>
      </c>
      <c r="L37" s="5">
        <v>55.448830613305503</v>
      </c>
      <c r="M37" s="5">
        <v>492</v>
      </c>
    </row>
  </sheetData>
  <dataConsolidate/>
  <conditionalFormatting pivot="1" sqref="G3:G37">
    <cfRule type="expression" dxfId="29" priority="10">
      <formula>G3=200000000000000000000</formula>
    </cfRule>
  </conditionalFormatting>
  <conditionalFormatting pivot="1" sqref="T3:T28">
    <cfRule type="expression" dxfId="28" priority="9">
      <formula>T3=200000000000000000000</formula>
    </cfRule>
  </conditionalFormatting>
  <conditionalFormatting pivot="1" sqref="T3:T28">
    <cfRule type="expression" dxfId="27" priority="8">
      <formula>T3=300000000000000000000</formula>
    </cfRule>
  </conditionalFormatting>
  <conditionalFormatting pivot="1" sqref="G3:G37">
    <cfRule type="expression" dxfId="26" priority="7">
      <formula>G3=300000000000000000000</formula>
    </cfRule>
  </conditionalFormatting>
  <conditionalFormatting pivot="1" sqref="F3:F37">
    <cfRule type="expression" dxfId="25" priority="6">
      <formula>F3=0</formula>
    </cfRule>
  </conditionalFormatting>
  <conditionalFormatting pivot="1" sqref="F3:F37">
    <cfRule type="expression" dxfId="24" priority="5">
      <formula>F3=1</formula>
    </cfRule>
  </conditionalFormatting>
  <conditionalFormatting pivot="1" sqref="T3:T28">
    <cfRule type="expression" dxfId="23" priority="4">
      <formula>T3=400000000000000000000</formula>
    </cfRule>
  </conditionalFormatting>
  <conditionalFormatting pivot="1" sqref="AP3:AP23">
    <cfRule type="expression" dxfId="22" priority="3">
      <formula>AP3=400000000000000000000</formula>
    </cfRule>
  </conditionalFormatting>
  <conditionalFormatting pivot="1" sqref="AF3:AF5">
    <cfRule type="expression" dxfId="21" priority="2">
      <formula>AF3=400000000000000000000</formula>
    </cfRule>
  </conditionalFormatting>
  <conditionalFormatting pivot="1" sqref="G3:G37">
    <cfRule type="expression" dxfId="20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36"/>
  <sheetViews>
    <sheetView workbookViewId="0">
      <selection activeCell="K2" sqref="K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8.28515625" bestFit="1" customWidth="1"/>
    <col min="5" max="5" width="13.285156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62.4257812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1</v>
      </c>
      <c r="L2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>
        <f t="array" ref="R2">MIN(IF((DiscreteStatsTable[GroupByKey]=DiscreteStatsTable[[#This Row],[GroupByKey]]),(DiscreteStatsTable[GroupByKey]=DiscreteStatsTable[[#This Row],[GroupByKey]])*DiscreteStatsTable[Average]))</f>
        <v>0</v>
      </c>
      <c r="S2">
        <f t="array" ref="S2">MAX(IF((DiscreteStatsTable[GroupByKey]=DiscreteStatsTable[[#This Row],[GroupByKey]]),(DiscreteStatsTable[GroupByKey]=DiscreteStatsTable[[#This Row],[GroupByKey]])*DiscreteStatsTable[Average]))</f>
        <v>0</v>
      </c>
      <c r="T2">
        <f t="array" ref="T2">MIN(IF((DiscreteStatsTable[GroupByKey]=DiscreteStatsTable[[#This Row],[GroupByKey]]),(DiscreteStatsTable[GroupByKey]=DiscreteStatsTable[[#This Row],[GroupByKey]])*DiscreteStatsTable[Minimum]))</f>
        <v>0</v>
      </c>
      <c r="U2">
        <f t="array" ref="U2">MAX(IF((DiscreteStatsTable[GroupByKey]=DiscreteStatsTable[[#This Row],[GroupByKey]]),(DiscreteStatsTable[GroupByKey]=DiscreteStatsTable[[#This Row],[GroupByKey]])*DiscreteStatsTable[Maximum]))</f>
        <v>0</v>
      </c>
      <c r="V2">
        <f t="array" ref="V2">IFERROR(AVERAGE(IF((DiscreteStatsTable[GroupByKey]=DiscreteStatsTable[[#This Row],[GroupByKey]]),(DiscreteStatsTable[GroupByKey]=DiscreteStatsTable[[#This Row],[GroupByKey]])*DiscreteStatsTable[NumberObservations])),0)</f>
        <v>1</v>
      </c>
      <c r="W2">
        <f>IF((DiscreteStatsTable[[#This Row],[RepsRequested]]&gt;1),DiscreteStatsTable[[#This Row],[HalfWidth]],DiscreteStatsTable[[#This Row],[BatchMeansHalfWidth]])</f>
        <v>2E+20</v>
      </c>
      <c r="X2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0</v>
      </c>
      <c r="H3">
        <v>2E+20</v>
      </c>
      <c r="I3">
        <v>0</v>
      </c>
      <c r="J3">
        <v>0</v>
      </c>
      <c r="K3">
        <v>1</v>
      </c>
      <c r="L3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>
        <f t="array" ref="R3">MIN(IF((DiscreteStatsTable[GroupByKey]=DiscreteStatsTable[[#This Row],[GroupByKey]]),(DiscreteStatsTable[GroupByKey]=DiscreteStatsTable[[#This Row],[GroupByKey]])*DiscreteStatsTable[Average]))</f>
        <v>0</v>
      </c>
      <c r="S3">
        <f t="array" ref="S3">MAX(IF((DiscreteStatsTable[GroupByKey]=DiscreteStatsTable[[#This Row],[GroupByKey]]),(DiscreteStatsTable[GroupByKey]=DiscreteStatsTable[[#This Row],[GroupByKey]])*DiscreteStatsTable[Average]))</f>
        <v>0</v>
      </c>
      <c r="T3">
        <f t="array" ref="T3">MIN(IF((DiscreteStatsTable[GroupByKey]=DiscreteStatsTable[[#This Row],[GroupByKey]]),(DiscreteStatsTable[GroupByKey]=DiscreteStatsTable[[#This Row],[GroupByKey]])*DiscreteStatsTable[Minimum]))</f>
        <v>0</v>
      </c>
      <c r="U3">
        <f t="array" ref="U3">MAX(IF((DiscreteStatsTable[GroupByKey]=DiscreteStatsTable[[#This Row],[GroupByKey]]),(DiscreteStatsTable[GroupByKey]=DiscreteStatsTable[[#This Row],[GroupByKey]])*DiscreteStatsTable[Maximum]))</f>
        <v>0</v>
      </c>
      <c r="V3">
        <f t="array" ref="V3">IFERROR(AVERAGE(IF((DiscreteStatsTable[GroupByKey]=DiscreteStatsTable[[#This Row],[GroupByKey]]),(DiscreteStatsTable[GroupByKey]=DiscreteStatsTable[[#This Row],[GroupByKey]])*DiscreteStatsTable[NumberObservations])),0)</f>
        <v>1</v>
      </c>
      <c r="W3">
        <f>IF((DiscreteStatsTable[[#This Row],[RepsRequested]]&gt;1),DiscreteStatsTable[[#This Row],[HalfWidth]],DiscreteStatsTable[[#This Row],[BatchMeansHalfWidth]])</f>
        <v>2E+20</v>
      </c>
      <c r="X3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0</v>
      </c>
      <c r="H4">
        <v>2E+20</v>
      </c>
      <c r="I4">
        <v>0</v>
      </c>
      <c r="J4">
        <v>0</v>
      </c>
      <c r="K4">
        <v>1</v>
      </c>
      <c r="L4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>
        <f t="array" ref="R4">MIN(IF((DiscreteStatsTable[GroupByKey]=DiscreteStatsTable[[#This Row],[GroupByKey]]),(DiscreteStatsTable[GroupByKey]=DiscreteStatsTable[[#This Row],[GroupByKey]])*DiscreteStatsTable[Average]))</f>
        <v>0</v>
      </c>
      <c r="S4">
        <f t="array" ref="S4">MAX(IF((DiscreteStatsTable[GroupByKey]=DiscreteStatsTable[[#This Row],[GroupByKey]]),(DiscreteStatsTable[GroupByKey]=DiscreteStatsTable[[#This Row],[GroupByKey]])*DiscreteStatsTable[Average]))</f>
        <v>0</v>
      </c>
      <c r="T4">
        <f t="array" ref="T4">MIN(IF((DiscreteStatsTable[GroupByKey]=DiscreteStatsTable[[#This Row],[GroupByKey]]),(DiscreteStatsTable[GroupByKey]=DiscreteStatsTable[[#This Row],[GroupByKey]])*DiscreteStatsTable[Minimum]))</f>
        <v>0</v>
      </c>
      <c r="U4">
        <f t="array" ref="U4">MAX(IF((DiscreteStatsTable[GroupByKey]=DiscreteStatsTable[[#This Row],[GroupByKey]]),(DiscreteStatsTable[GroupByKey]=DiscreteStatsTable[[#This Row],[GroupByKey]])*DiscreteStatsTable[Maximum]))</f>
        <v>0</v>
      </c>
      <c r="V4">
        <f t="array" ref="V4">IFERROR(AVERAGE(IF((DiscreteStatsTable[GroupByKey]=DiscreteStatsTable[[#This Row],[GroupByKey]]),(DiscreteStatsTable[GroupByKey]=DiscreteStatsTable[[#This Row],[GroupByKey]])*DiscreteStatsTable[NumberObservations])),0)</f>
        <v>1</v>
      </c>
      <c r="W4">
        <f>IF((DiscreteStatsTable[[#This Row],[RepsRequested]]&gt;1),DiscreteStatsTable[[#This Row],[HalfWidth]],DiscreteStatsTable[[#This Row],[BatchMeansHalfWidth]])</f>
        <v>2E+20</v>
      </c>
      <c r="X4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2E+20</v>
      </c>
      <c r="I5">
        <v>0</v>
      </c>
      <c r="J5">
        <v>0</v>
      </c>
      <c r="K5">
        <v>1</v>
      </c>
      <c r="L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>
        <f t="array" ref="R5">MIN(IF((DiscreteStatsTable[GroupByKey]=DiscreteStatsTable[[#This Row],[GroupByKey]]),(DiscreteStatsTable[GroupByKey]=DiscreteStatsTable[[#This Row],[GroupByKey]])*DiscreteStatsTable[Average]))</f>
        <v>0</v>
      </c>
      <c r="S5">
        <f t="array" ref="S5">MAX(IF((DiscreteStatsTable[GroupByKey]=DiscreteStatsTable[[#This Row],[GroupByKey]]),(DiscreteStatsTable[GroupByKey]=DiscreteStatsTable[[#This Row],[GroupByKey]])*DiscreteStatsTable[Average]))</f>
        <v>0</v>
      </c>
      <c r="T5">
        <f t="array" ref="T5">MIN(IF((DiscreteStatsTable[GroupByKey]=DiscreteStatsTable[[#This Row],[GroupByKey]]),(DiscreteStatsTable[GroupByKey]=DiscreteStatsTable[[#This Row],[GroupByKey]])*DiscreteStatsTable[Minimum]))</f>
        <v>0</v>
      </c>
      <c r="U5">
        <f t="array" ref="U5">MAX(IF((DiscreteStatsTable[GroupByKey]=DiscreteStatsTable[[#This Row],[GroupByKey]]),(DiscreteStatsTable[GroupByKey]=DiscreteStatsTable[[#This Row],[GroupByKey]])*DiscreteStatsTable[Maximum]))</f>
        <v>0</v>
      </c>
      <c r="V5">
        <f t="array" ref="V5">IFERROR(AVERAGE(IF((DiscreteStatsTable[GroupByKey]=DiscreteStatsTable[[#This Row],[GroupByKey]]),(DiscreteStatsTable[GroupByKey]=DiscreteStatsTable[[#This Row],[GroupByKey]])*DiscreteStatsTable[NumberObservations])),0)</f>
        <v>1</v>
      </c>
      <c r="W5">
        <f>IF((DiscreteStatsTable[[#This Row],[RepsRequested]]&gt;1),DiscreteStatsTable[[#This Row],[HalfWidth]],DiscreteStatsTable[[#This Row],[BatchMeansHalfWidth]])</f>
        <v>2E+20</v>
      </c>
      <c r="X5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0</v>
      </c>
      <c r="H6">
        <v>2E+20</v>
      </c>
      <c r="I6">
        <v>0</v>
      </c>
      <c r="J6">
        <v>0</v>
      </c>
      <c r="K6">
        <v>1</v>
      </c>
      <c r="L6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>
        <f t="array" ref="R6">MIN(IF((DiscreteStatsTable[GroupByKey]=DiscreteStatsTable[[#This Row],[GroupByKey]]),(DiscreteStatsTable[GroupByKey]=DiscreteStatsTable[[#This Row],[GroupByKey]])*DiscreteStatsTable[Average]))</f>
        <v>0</v>
      </c>
      <c r="S6">
        <f t="array" ref="S6">MAX(IF((DiscreteStatsTable[GroupByKey]=DiscreteStatsTable[[#This Row],[GroupByKey]]),(DiscreteStatsTable[GroupByKey]=DiscreteStatsTable[[#This Row],[GroupByKey]])*DiscreteStatsTable[Average]))</f>
        <v>0</v>
      </c>
      <c r="T6">
        <f t="array" ref="T6">MIN(IF((DiscreteStatsTable[GroupByKey]=DiscreteStatsTable[[#This Row],[GroupByKey]]),(DiscreteStatsTable[GroupByKey]=DiscreteStatsTable[[#This Row],[GroupByKey]])*DiscreteStatsTable[Minimum]))</f>
        <v>0</v>
      </c>
      <c r="U6">
        <f t="array" ref="U6">MAX(IF((DiscreteStatsTable[GroupByKey]=DiscreteStatsTable[[#This Row],[GroupByKey]]),(DiscreteStatsTable[GroupByKey]=DiscreteStatsTable[[#This Row],[GroupByKey]])*DiscreteStatsTable[Maximum]))</f>
        <v>0</v>
      </c>
      <c r="V6">
        <f t="array" ref="V6">IFERROR(AVERAGE(IF((DiscreteStatsTable[GroupByKey]=DiscreteStatsTable[[#This Row],[GroupByKey]]),(DiscreteStatsTable[GroupByKey]=DiscreteStatsTable[[#This Row],[GroupByKey]])*DiscreteStatsTable[NumberObservations])),0)</f>
        <v>1</v>
      </c>
      <c r="W6">
        <f>IF((DiscreteStatsTable[[#This Row],[RepsRequested]]&gt;1),DiscreteStatsTable[[#This Row],[HalfWidth]],DiscreteStatsTable[[#This Row],[BatchMeansHalfWidth]])</f>
        <v>2E+20</v>
      </c>
      <c r="X6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0</v>
      </c>
      <c r="H7">
        <v>2E+20</v>
      </c>
      <c r="I7">
        <v>0</v>
      </c>
      <c r="J7">
        <v>0</v>
      </c>
      <c r="K7">
        <v>1</v>
      </c>
      <c r="L7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>
        <f t="array" ref="R7">MIN(IF((DiscreteStatsTable[GroupByKey]=DiscreteStatsTable[[#This Row],[GroupByKey]]),(DiscreteStatsTable[GroupByKey]=DiscreteStatsTable[[#This Row],[GroupByKey]])*DiscreteStatsTable[Average]))</f>
        <v>0</v>
      </c>
      <c r="S7">
        <f t="array" ref="S7">MAX(IF((DiscreteStatsTable[GroupByKey]=DiscreteStatsTable[[#This Row],[GroupByKey]]),(DiscreteStatsTable[GroupByKey]=DiscreteStatsTable[[#This Row],[GroupByKey]])*DiscreteStatsTable[Average]))</f>
        <v>0</v>
      </c>
      <c r="T7">
        <f t="array" ref="T7">MIN(IF((DiscreteStatsTable[GroupByKey]=DiscreteStatsTable[[#This Row],[GroupByKey]]),(DiscreteStatsTable[GroupByKey]=DiscreteStatsTable[[#This Row],[GroupByKey]])*DiscreteStatsTable[Minimum]))</f>
        <v>0</v>
      </c>
      <c r="U7">
        <f t="array" ref="U7">MAX(IF((DiscreteStatsTable[GroupByKey]=DiscreteStatsTable[[#This Row],[GroupByKey]]),(DiscreteStatsTable[GroupByKey]=DiscreteStatsTable[[#This Row],[GroupByKey]])*DiscreteStatsTable[Maximum]))</f>
        <v>0</v>
      </c>
      <c r="V7">
        <f t="array" ref="V7">IFERROR(AVERAGE(IF((DiscreteStatsTable[GroupByKey]=DiscreteStatsTable[[#This Row],[GroupByKey]]),(DiscreteStatsTable[GroupByKey]=DiscreteStatsTable[[#This Row],[GroupByKey]])*DiscreteStatsTable[NumberObservations])),0)</f>
        <v>1</v>
      </c>
      <c r="W7">
        <f>IF((DiscreteStatsTable[[#This Row],[RepsRequested]]&gt;1),DiscreteStatsTable[[#This Row],[HalfWidth]],DiscreteStatsTable[[#This Row],[BatchMeansHalfWidth]])</f>
        <v>2E+20</v>
      </c>
      <c r="X7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69</v>
      </c>
      <c r="C8">
        <v>1</v>
      </c>
      <c r="D8" t="s">
        <v>78</v>
      </c>
      <c r="E8" t="s">
        <v>71</v>
      </c>
      <c r="F8" t="s">
        <v>72</v>
      </c>
      <c r="G8">
        <v>0</v>
      </c>
      <c r="H8">
        <v>2E+20</v>
      </c>
      <c r="I8">
        <v>0</v>
      </c>
      <c r="J8">
        <v>0</v>
      </c>
      <c r="K8">
        <v>91</v>
      </c>
      <c r="L8" t="str">
        <f>DiscreteStatsTable[[#This Row],[ProjectName]]&amp;DiscreteStatsTable[[#This Row],[Name]]&amp;DiscreteStatsTable[[#This Row],[Type]]&amp;DiscreteStatsTable[[#This Row],[Source]]</f>
        <v>Unnamed ProjectIncoming CallNVA TimeEntity</v>
      </c>
      <c r="M8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>
        <f t="array" ref="R8">MIN(IF((DiscreteStatsTable[GroupByKey]=DiscreteStatsTable[[#This Row],[GroupByKey]]),(DiscreteStatsTable[GroupByKey]=DiscreteStatsTable[[#This Row],[GroupByKey]])*DiscreteStatsTable[Average]))</f>
        <v>0</v>
      </c>
      <c r="S8">
        <f t="array" ref="S8">MAX(IF((DiscreteStatsTable[GroupByKey]=DiscreteStatsTable[[#This Row],[GroupByKey]]),(DiscreteStatsTable[GroupByKey]=DiscreteStatsTable[[#This Row],[GroupByKey]])*DiscreteStatsTable[Average]))</f>
        <v>0</v>
      </c>
      <c r="T8">
        <f t="array" ref="T8">MIN(IF((DiscreteStatsTable[GroupByKey]=DiscreteStatsTable[[#This Row],[GroupByKey]]),(DiscreteStatsTable[GroupByKey]=DiscreteStatsTable[[#This Row],[GroupByKey]])*DiscreteStatsTable[Minimum]))</f>
        <v>0</v>
      </c>
      <c r="U8">
        <f t="array" ref="U8">MAX(IF((DiscreteStatsTable[GroupByKey]=DiscreteStatsTable[[#This Row],[GroupByKey]]),(DiscreteStatsTable[GroupByKey]=DiscreteStatsTable[[#This Row],[GroupByKey]])*DiscreteStatsTable[Maximum]))</f>
        <v>0</v>
      </c>
      <c r="V8">
        <f t="array" ref="V8">IFERROR(AVERAGE(IF((DiscreteStatsTable[GroupByKey]=DiscreteStatsTable[[#This Row],[GroupByKey]]),(DiscreteStatsTable[GroupByKey]=DiscreteStatsTable[[#This Row],[GroupByKey]])*DiscreteStatsTable[NumberObservations])),0)</f>
        <v>91</v>
      </c>
      <c r="W8">
        <f>IF((DiscreteStatsTable[[#This Row],[RepsRequested]]&gt;1),DiscreteStatsTable[[#This Row],[HalfWidth]],DiscreteStatsTable[[#This Row],[BatchMeansHalfWidth]])</f>
        <v>2E+20</v>
      </c>
      <c r="X8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69</v>
      </c>
      <c r="C9">
        <v>1</v>
      </c>
      <c r="D9" t="s">
        <v>78</v>
      </c>
      <c r="E9" t="s">
        <v>73</v>
      </c>
      <c r="F9" t="s">
        <v>72</v>
      </c>
      <c r="G9">
        <v>0</v>
      </c>
      <c r="H9">
        <v>2E+20</v>
      </c>
      <c r="I9">
        <v>0</v>
      </c>
      <c r="J9">
        <v>0</v>
      </c>
      <c r="K9">
        <v>91</v>
      </c>
      <c r="L9" t="str">
        <f>DiscreteStatsTable[[#This Row],[ProjectName]]&amp;DiscreteStatsTable[[#This Row],[Name]]&amp;DiscreteStatsTable[[#This Row],[Type]]&amp;DiscreteStatsTable[[#This Row],[Source]]</f>
        <v>Unnamed ProjectIncoming CallOther TimeEntity</v>
      </c>
      <c r="M9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>
        <f t="array" ref="R9">MIN(IF((DiscreteStatsTable[GroupByKey]=DiscreteStatsTable[[#This Row],[GroupByKey]]),(DiscreteStatsTable[GroupByKey]=DiscreteStatsTable[[#This Row],[GroupByKey]])*DiscreteStatsTable[Average]))</f>
        <v>0</v>
      </c>
      <c r="S9">
        <f t="array" ref="S9">MAX(IF((DiscreteStatsTable[GroupByKey]=DiscreteStatsTable[[#This Row],[GroupByKey]]),(DiscreteStatsTable[GroupByKey]=DiscreteStatsTable[[#This Row],[GroupByKey]])*DiscreteStatsTable[Average]))</f>
        <v>0</v>
      </c>
      <c r="T9">
        <f t="array" ref="T9">MIN(IF((DiscreteStatsTable[GroupByKey]=DiscreteStatsTable[[#This Row],[GroupByKey]]),(DiscreteStatsTable[GroupByKey]=DiscreteStatsTable[[#This Row],[GroupByKey]])*DiscreteStatsTable[Minimum]))</f>
        <v>0</v>
      </c>
      <c r="U9">
        <f t="array" ref="U9">MAX(IF((DiscreteStatsTable[GroupByKey]=DiscreteStatsTable[[#This Row],[GroupByKey]]),(DiscreteStatsTable[GroupByKey]=DiscreteStatsTable[[#This Row],[GroupByKey]])*DiscreteStatsTable[Maximum]))</f>
        <v>0</v>
      </c>
      <c r="V9">
        <f t="array" ref="V9">IFERROR(AVERAGE(IF((DiscreteStatsTable[GroupByKey]=DiscreteStatsTable[[#This Row],[GroupByKey]]),(DiscreteStatsTable[GroupByKey]=DiscreteStatsTable[[#This Row],[GroupByKey]])*DiscreteStatsTable[NumberObservations])),0)</f>
        <v>91</v>
      </c>
      <c r="W9">
        <f>IF((DiscreteStatsTable[[#This Row],[RepsRequested]]&gt;1),DiscreteStatsTable[[#This Row],[HalfWidth]],DiscreteStatsTable[[#This Row],[BatchMeansHalfWidth]])</f>
        <v>2E+20</v>
      </c>
      <c r="X9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67</v>
      </c>
      <c r="B10" t="s">
        <v>69</v>
      </c>
      <c r="C10">
        <v>1</v>
      </c>
      <c r="D10" t="s">
        <v>78</v>
      </c>
      <c r="E10" t="s">
        <v>74</v>
      </c>
      <c r="F10" t="s">
        <v>72</v>
      </c>
      <c r="G10">
        <v>0</v>
      </c>
      <c r="H10">
        <v>2E+20</v>
      </c>
      <c r="I10">
        <v>0</v>
      </c>
      <c r="J10">
        <v>0</v>
      </c>
      <c r="K10">
        <v>91</v>
      </c>
      <c r="L10" t="str">
        <f>DiscreteStatsTable[[#This Row],[ProjectName]]&amp;DiscreteStatsTable[[#This Row],[Name]]&amp;DiscreteStatsTable[[#This Row],[Type]]&amp;DiscreteStatsTable[[#This Row],[Source]]</f>
        <v>Unnamed ProjectIncoming CallTotal TimeEntity</v>
      </c>
      <c r="M10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>
        <f t="array" ref="R10">MIN(IF((DiscreteStatsTable[GroupByKey]=DiscreteStatsTable[[#This Row],[GroupByKey]]),(DiscreteStatsTable[GroupByKey]=DiscreteStatsTable[[#This Row],[GroupByKey]])*DiscreteStatsTable[Average]))</f>
        <v>0</v>
      </c>
      <c r="S10">
        <f t="array" ref="S10">MAX(IF((DiscreteStatsTable[GroupByKey]=DiscreteStatsTable[[#This Row],[GroupByKey]]),(DiscreteStatsTable[GroupByKey]=DiscreteStatsTable[[#This Row],[GroupByKey]])*DiscreteStatsTable[Average]))</f>
        <v>0</v>
      </c>
      <c r="T10">
        <f t="array" ref="T10">MIN(IF((DiscreteStatsTable[GroupByKey]=DiscreteStatsTable[[#This Row],[GroupByKey]]),(DiscreteStatsTable[GroupByKey]=DiscreteStatsTable[[#This Row],[GroupByKey]])*DiscreteStatsTable[Minimum]))</f>
        <v>0</v>
      </c>
      <c r="U10">
        <f t="array" ref="U10">MAX(IF((DiscreteStatsTable[GroupByKey]=DiscreteStatsTable[[#This Row],[GroupByKey]]),(DiscreteStatsTable[GroupByKey]=DiscreteStatsTable[[#This Row],[GroupByKey]])*DiscreteStatsTable[Maximum]))</f>
        <v>0</v>
      </c>
      <c r="V10">
        <f t="array" ref="V10">IFERROR(AVERAGE(IF((DiscreteStatsTable[GroupByKey]=DiscreteStatsTable[[#This Row],[GroupByKey]]),(DiscreteStatsTable[GroupByKey]=DiscreteStatsTable[[#This Row],[GroupByKey]])*DiscreteStatsTable[NumberObservations])),0)</f>
        <v>91</v>
      </c>
      <c r="W10">
        <f>IF((DiscreteStatsTable[[#This Row],[RepsRequested]]&gt;1),DiscreteStatsTable[[#This Row],[HalfWidth]],DiscreteStatsTable[[#This Row],[BatchMeansHalfWidth]])</f>
        <v>2E+20</v>
      </c>
      <c r="X10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67</v>
      </c>
      <c r="B11" t="s">
        <v>69</v>
      </c>
      <c r="C11">
        <v>1</v>
      </c>
      <c r="D11" t="s">
        <v>78</v>
      </c>
      <c r="E11" t="s">
        <v>75</v>
      </c>
      <c r="F11" t="s">
        <v>72</v>
      </c>
      <c r="G11">
        <v>0</v>
      </c>
      <c r="H11">
        <v>2E+20</v>
      </c>
      <c r="I11">
        <v>0</v>
      </c>
      <c r="J11">
        <v>0</v>
      </c>
      <c r="K11">
        <v>91</v>
      </c>
      <c r="L11" t="str">
        <f>DiscreteStatsTable[[#This Row],[ProjectName]]&amp;DiscreteStatsTable[[#This Row],[Name]]&amp;DiscreteStatsTable[[#This Row],[Type]]&amp;DiscreteStatsTable[[#This Row],[Source]]</f>
        <v>Unnamed ProjectIncoming CallTransfer TimeEntity</v>
      </c>
      <c r="M1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>
        <f t="array" ref="R11">MIN(IF((DiscreteStatsTable[GroupByKey]=DiscreteStatsTable[[#This Row],[GroupByKey]]),(DiscreteStatsTable[GroupByKey]=DiscreteStatsTable[[#This Row],[GroupByKey]])*DiscreteStatsTable[Average]))</f>
        <v>0</v>
      </c>
      <c r="S11">
        <f t="array" ref="S11">MAX(IF((DiscreteStatsTable[GroupByKey]=DiscreteStatsTable[[#This Row],[GroupByKey]]),(DiscreteStatsTable[GroupByKey]=DiscreteStatsTable[[#This Row],[GroupByKey]])*DiscreteStatsTable[Average]))</f>
        <v>0</v>
      </c>
      <c r="T11">
        <f t="array" ref="T11">MIN(IF((DiscreteStatsTable[GroupByKey]=DiscreteStatsTable[[#This Row],[GroupByKey]]),(DiscreteStatsTable[GroupByKey]=DiscreteStatsTable[[#This Row],[GroupByKey]])*DiscreteStatsTable[Minimum]))</f>
        <v>0</v>
      </c>
      <c r="U11">
        <f t="array" ref="U11">MAX(IF((DiscreteStatsTable[GroupByKey]=DiscreteStatsTable[[#This Row],[GroupByKey]]),(DiscreteStatsTable[GroupByKey]=DiscreteStatsTable[[#This Row],[GroupByKey]])*DiscreteStatsTable[Maximum]))</f>
        <v>0</v>
      </c>
      <c r="V11">
        <f t="array" ref="V11">IFERROR(AVERAGE(IF((DiscreteStatsTable[GroupByKey]=DiscreteStatsTable[[#This Row],[GroupByKey]]),(DiscreteStatsTable[GroupByKey]=DiscreteStatsTable[[#This Row],[GroupByKey]])*DiscreteStatsTable[NumberObservations])),0)</f>
        <v>91</v>
      </c>
      <c r="W11">
        <f>IF((DiscreteStatsTable[[#This Row],[RepsRequested]]&gt;1),DiscreteStatsTable[[#This Row],[HalfWidth]],DiscreteStatsTable[[#This Row],[BatchMeansHalfWidth]])</f>
        <v>2E+20</v>
      </c>
      <c r="X1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67</v>
      </c>
      <c r="B12" t="s">
        <v>69</v>
      </c>
      <c r="C12">
        <v>1</v>
      </c>
      <c r="D12" t="s">
        <v>78</v>
      </c>
      <c r="E12" t="s">
        <v>76</v>
      </c>
      <c r="F12" t="s">
        <v>72</v>
      </c>
      <c r="G12">
        <v>0</v>
      </c>
      <c r="H12">
        <v>2E+20</v>
      </c>
      <c r="I12">
        <v>0</v>
      </c>
      <c r="J12">
        <v>0</v>
      </c>
      <c r="K12">
        <v>91</v>
      </c>
      <c r="L12" t="str">
        <f>DiscreteStatsTable[[#This Row],[ProjectName]]&amp;DiscreteStatsTable[[#This Row],[Name]]&amp;DiscreteStatsTable[[#This Row],[Type]]&amp;DiscreteStatsTable[[#This Row],[Source]]</f>
        <v>Unnamed ProjectIncoming CallVA TimeEntity</v>
      </c>
      <c r="M12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>
        <f t="array" ref="R12">MIN(IF((DiscreteStatsTable[GroupByKey]=DiscreteStatsTable[[#This Row],[GroupByKey]]),(DiscreteStatsTable[GroupByKey]=DiscreteStatsTable[[#This Row],[GroupByKey]])*DiscreteStatsTable[Average]))</f>
        <v>0</v>
      </c>
      <c r="S12">
        <f t="array" ref="S12">MAX(IF((DiscreteStatsTable[GroupByKey]=DiscreteStatsTable[[#This Row],[GroupByKey]]),(DiscreteStatsTable[GroupByKey]=DiscreteStatsTable[[#This Row],[GroupByKey]])*DiscreteStatsTable[Average]))</f>
        <v>0</v>
      </c>
      <c r="T12">
        <f t="array" ref="T12">MIN(IF((DiscreteStatsTable[GroupByKey]=DiscreteStatsTable[[#This Row],[GroupByKey]]),(DiscreteStatsTable[GroupByKey]=DiscreteStatsTable[[#This Row],[GroupByKey]])*DiscreteStatsTable[Minimum]))</f>
        <v>0</v>
      </c>
      <c r="U12">
        <f t="array" ref="U12">MAX(IF((DiscreteStatsTable[GroupByKey]=DiscreteStatsTable[[#This Row],[GroupByKey]]),(DiscreteStatsTable[GroupByKey]=DiscreteStatsTable[[#This Row],[GroupByKey]])*DiscreteStatsTable[Maximum]))</f>
        <v>0</v>
      </c>
      <c r="V12">
        <f t="array" ref="V12">IFERROR(AVERAGE(IF((DiscreteStatsTable[GroupByKey]=DiscreteStatsTable[[#This Row],[GroupByKey]]),(DiscreteStatsTable[GroupByKey]=DiscreteStatsTable[[#This Row],[GroupByKey]])*DiscreteStatsTable[NumberObservations])),0)</f>
        <v>91</v>
      </c>
      <c r="W12">
        <f>IF((DiscreteStatsTable[[#This Row],[RepsRequested]]&gt;1),DiscreteStatsTable[[#This Row],[HalfWidth]],DiscreteStatsTable[[#This Row],[BatchMeansHalfWidth]])</f>
        <v>2E+20</v>
      </c>
      <c r="X12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67</v>
      </c>
      <c r="B13" t="s">
        <v>69</v>
      </c>
      <c r="C13">
        <v>1</v>
      </c>
      <c r="D13" t="s">
        <v>78</v>
      </c>
      <c r="E13" t="s">
        <v>77</v>
      </c>
      <c r="F13" t="s">
        <v>72</v>
      </c>
      <c r="G13">
        <v>0</v>
      </c>
      <c r="H13">
        <v>2E+20</v>
      </c>
      <c r="I13">
        <v>0</v>
      </c>
      <c r="J13">
        <v>0</v>
      </c>
      <c r="K13">
        <v>91</v>
      </c>
      <c r="L13" t="str">
        <f>DiscreteStatsTable[[#This Row],[ProjectName]]&amp;DiscreteStatsTable[[#This Row],[Name]]&amp;DiscreteStatsTable[[#This Row],[Type]]&amp;DiscreteStatsTable[[#This Row],[Source]]</f>
        <v>Unnamed ProjectIncoming CallWait TimeEntity</v>
      </c>
      <c r="M13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>
        <f t="array" ref="R13">MIN(IF((DiscreteStatsTable[GroupByKey]=DiscreteStatsTable[[#This Row],[GroupByKey]]),(DiscreteStatsTable[GroupByKey]=DiscreteStatsTable[[#This Row],[GroupByKey]])*DiscreteStatsTable[Average]))</f>
        <v>0</v>
      </c>
      <c r="S13">
        <f t="array" ref="S13">MAX(IF((DiscreteStatsTable[GroupByKey]=DiscreteStatsTable[[#This Row],[GroupByKey]]),(DiscreteStatsTable[GroupByKey]=DiscreteStatsTable[[#This Row],[GroupByKey]])*DiscreteStatsTable[Average]))</f>
        <v>0</v>
      </c>
      <c r="T13">
        <f t="array" ref="T13">MIN(IF((DiscreteStatsTable[GroupByKey]=DiscreteStatsTable[[#This Row],[GroupByKey]]),(DiscreteStatsTable[GroupByKey]=DiscreteStatsTable[[#This Row],[GroupByKey]])*DiscreteStatsTable[Minimum]))</f>
        <v>0</v>
      </c>
      <c r="U13">
        <f t="array" ref="U13">MAX(IF((DiscreteStatsTable[GroupByKey]=DiscreteStatsTable[[#This Row],[GroupByKey]]),(DiscreteStatsTable[GroupByKey]=DiscreteStatsTable[[#This Row],[GroupByKey]])*DiscreteStatsTable[Maximum]))</f>
        <v>0</v>
      </c>
      <c r="V13">
        <f t="array" ref="V13">IFERROR(AVERAGE(IF((DiscreteStatsTable[GroupByKey]=DiscreteStatsTable[[#This Row],[GroupByKey]]),(DiscreteStatsTable[GroupByKey]=DiscreteStatsTable[[#This Row],[GroupByKey]])*DiscreteStatsTable[NumberObservations])),0)</f>
        <v>91</v>
      </c>
      <c r="W13">
        <f>IF((DiscreteStatsTable[[#This Row],[RepsRequested]]&gt;1),DiscreteStatsTable[[#This Row],[HalfWidth]],DiscreteStatsTable[[#This Row],[BatchMeansHalfWidth]])</f>
        <v>2E+20</v>
      </c>
      <c r="X13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67</v>
      </c>
      <c r="B14" t="s">
        <v>69</v>
      </c>
      <c r="C14">
        <v>1</v>
      </c>
      <c r="D14" t="s">
        <v>79</v>
      </c>
      <c r="E14" t="s">
        <v>71</v>
      </c>
      <c r="F14" t="s">
        <v>72</v>
      </c>
      <c r="G14">
        <v>0</v>
      </c>
      <c r="H14">
        <v>2E+20</v>
      </c>
      <c r="I14">
        <v>0</v>
      </c>
      <c r="J14">
        <v>0</v>
      </c>
      <c r="K14">
        <v>51</v>
      </c>
      <c r="L14" t="str">
        <f>DiscreteStatsTable[[#This Row],[ProjectName]]&amp;DiscreteStatsTable[[#This Row],[Name]]&amp;DiscreteStatsTable[[#This Row],[Type]]&amp;DiscreteStatsTable[[#This Row],[Source]]</f>
        <v>Unnamed ProjectOrder Status CallNVA TimeEntity</v>
      </c>
      <c r="M14">
        <f t="array" ref="M14">MAX(IF((ProjectInfoTable[ProjectName]=DiscreteStatsTable[[#This Row],[ProjectName]]),(ProjectInfoTable[ProjectName]=DiscreteStatsTable[[#This Row],[ProjectName]])*ProjectInfoTable[NumberOfReplications]))</f>
        <v>1</v>
      </c>
      <c r="N14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">
        <f t="array" ref="R14">MIN(IF((DiscreteStatsTable[GroupByKey]=DiscreteStatsTable[[#This Row],[GroupByKey]]),(DiscreteStatsTable[GroupByKey]=DiscreteStatsTable[[#This Row],[GroupByKey]])*DiscreteStatsTable[Average]))</f>
        <v>0</v>
      </c>
      <c r="S14">
        <f t="array" ref="S14">MAX(IF((DiscreteStatsTable[GroupByKey]=DiscreteStatsTable[[#This Row],[GroupByKey]]),(DiscreteStatsTable[GroupByKey]=DiscreteStatsTable[[#This Row],[GroupByKey]])*DiscreteStatsTable[Average]))</f>
        <v>0</v>
      </c>
      <c r="T14">
        <f t="array" ref="T14">MIN(IF((DiscreteStatsTable[GroupByKey]=DiscreteStatsTable[[#This Row],[GroupByKey]]),(DiscreteStatsTable[GroupByKey]=DiscreteStatsTable[[#This Row],[GroupByKey]])*DiscreteStatsTable[Minimum]))</f>
        <v>0</v>
      </c>
      <c r="U14">
        <f t="array" ref="U14">MAX(IF((DiscreteStatsTable[GroupByKey]=DiscreteStatsTable[[#This Row],[GroupByKey]]),(DiscreteStatsTable[GroupByKey]=DiscreteStatsTable[[#This Row],[GroupByKey]])*DiscreteStatsTable[Maximum]))</f>
        <v>0</v>
      </c>
      <c r="V14">
        <f t="array" ref="V14">IFERROR(AVERAGE(IF((DiscreteStatsTable[GroupByKey]=DiscreteStatsTable[[#This Row],[GroupByKey]]),(DiscreteStatsTable[GroupByKey]=DiscreteStatsTable[[#This Row],[GroupByKey]])*DiscreteStatsTable[NumberObservations])),0)</f>
        <v>51</v>
      </c>
      <c r="W14">
        <f>IF((DiscreteStatsTable[[#This Row],[RepsRequested]]&gt;1),DiscreteStatsTable[[#This Row],[HalfWidth]],DiscreteStatsTable[[#This Row],[BatchMeansHalfWidth]])</f>
        <v>2E+20</v>
      </c>
      <c r="X14">
        <f t="array" ref="X14">COUNT(IF((DiscreteStatsTable[GroupByKey]=DiscreteStatsTable[[#This Row],[GroupByKey]]),(DiscreteStatsTable[GroupByKey]=DiscreteStatsTable[[#This Row],[GroupByKey]])*DiscreteStatsTable[Replication]))</f>
        <v>1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67</v>
      </c>
      <c r="B15" t="s">
        <v>69</v>
      </c>
      <c r="C15">
        <v>1</v>
      </c>
      <c r="D15" t="s">
        <v>79</v>
      </c>
      <c r="E15" t="s">
        <v>73</v>
      </c>
      <c r="F15" t="s">
        <v>72</v>
      </c>
      <c r="G15">
        <v>3.7438051337529998</v>
      </c>
      <c r="H15">
        <v>2E+20</v>
      </c>
      <c r="I15">
        <v>2.4792193430949001</v>
      </c>
      <c r="J15">
        <v>7.5252872129322697</v>
      </c>
      <c r="K15">
        <v>51</v>
      </c>
      <c r="L15" t="str">
        <f>DiscreteStatsTable[[#This Row],[ProjectName]]&amp;DiscreteStatsTable[[#This Row],[Name]]&amp;DiscreteStatsTable[[#This Row],[Type]]&amp;DiscreteStatsTable[[#This Row],[Source]]</f>
        <v>Unnamed ProjectOrder Status CallOther TimeEntity</v>
      </c>
      <c r="M15">
        <f t="array" ref="M15">MAX(IF((ProjectInfoTable[ProjectName]=DiscreteStatsTable[[#This Row],[ProjectName]]),(ProjectInfoTable[ProjectName]=DiscreteStatsTable[[#This Row],[ProjectName]])*ProjectInfoTable[NumberOfReplications]))</f>
        <v>1</v>
      </c>
      <c r="N15">
        <f t="array" ref="N15">IFERROR(AVERAGE(IF((DiscreteStatsTable[GroupByKey]=DiscreteStatsTable[[#This Row],[GroupByKey]]),(DiscreteStatsTable[GroupByKey]=DiscreteStatsTable[[#This Row],[GroupByKey]])*DiscreteStatsTable[Average])),0)</f>
        <v>3.7438051337529998</v>
      </c>
      <c r="O15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">
        <f t="array" ref="R15">MIN(IF((DiscreteStatsTable[GroupByKey]=DiscreteStatsTable[[#This Row],[GroupByKey]]),(DiscreteStatsTable[GroupByKey]=DiscreteStatsTable[[#This Row],[GroupByKey]])*DiscreteStatsTable[Average]))</f>
        <v>3.7438051337529998</v>
      </c>
      <c r="S15">
        <f t="array" ref="S15">MAX(IF((DiscreteStatsTable[GroupByKey]=DiscreteStatsTable[[#This Row],[GroupByKey]]),(DiscreteStatsTable[GroupByKey]=DiscreteStatsTable[[#This Row],[GroupByKey]])*DiscreteStatsTable[Average]))</f>
        <v>3.7438051337529998</v>
      </c>
      <c r="T15">
        <f t="array" ref="T15">MIN(IF((DiscreteStatsTable[GroupByKey]=DiscreteStatsTable[[#This Row],[GroupByKey]]),(DiscreteStatsTable[GroupByKey]=DiscreteStatsTable[[#This Row],[GroupByKey]])*DiscreteStatsTable[Minimum]))</f>
        <v>2.4792193430949001</v>
      </c>
      <c r="U15">
        <f t="array" ref="U15">MAX(IF((DiscreteStatsTable[GroupByKey]=DiscreteStatsTable[[#This Row],[GroupByKey]]),(DiscreteStatsTable[GroupByKey]=DiscreteStatsTable[[#This Row],[GroupByKey]])*DiscreteStatsTable[Maximum]))</f>
        <v>7.5252872129322697</v>
      </c>
      <c r="V15">
        <f t="array" ref="V15">IFERROR(AVERAGE(IF((DiscreteStatsTable[GroupByKey]=DiscreteStatsTable[[#This Row],[GroupByKey]]),(DiscreteStatsTable[GroupByKey]=DiscreteStatsTable[[#This Row],[GroupByKey]])*DiscreteStatsTable[NumberObservations])),0)</f>
        <v>51</v>
      </c>
      <c r="W15">
        <f>IF((DiscreteStatsTable[[#This Row],[RepsRequested]]&gt;1),DiscreteStatsTable[[#This Row],[HalfWidth]],DiscreteStatsTable[[#This Row],[BatchMeansHalfWidth]])</f>
        <v>2E+20</v>
      </c>
      <c r="X15">
        <f t="array" ref="X15">COUNT(IF((DiscreteStatsTable[GroupByKey]=DiscreteStatsTable[[#This Row],[GroupByKey]]),(DiscreteStatsTable[GroupByKey]=DiscreteStatsTable[[#This Row],[GroupByKey]])*DiscreteStatsTable[Replication]))</f>
        <v>1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67</v>
      </c>
      <c r="B16" t="s">
        <v>69</v>
      </c>
      <c r="C16">
        <v>1</v>
      </c>
      <c r="D16" t="s">
        <v>79</v>
      </c>
      <c r="E16" t="s">
        <v>74</v>
      </c>
      <c r="F16" t="s">
        <v>72</v>
      </c>
      <c r="G16">
        <v>8.1962762735749504</v>
      </c>
      <c r="H16">
        <v>2E+20</v>
      </c>
      <c r="I16">
        <v>2.4792193430949001</v>
      </c>
      <c r="J16">
        <v>116.73203817416</v>
      </c>
      <c r="K16">
        <v>51</v>
      </c>
      <c r="L16" t="str">
        <f>DiscreteStatsTable[[#This Row],[ProjectName]]&amp;DiscreteStatsTable[[#This Row],[Name]]&amp;DiscreteStatsTable[[#This Row],[Type]]&amp;DiscreteStatsTable[[#This Row],[Source]]</f>
        <v>Unnamed ProjectOrder Status CallTotal TimeEntity</v>
      </c>
      <c r="M16">
        <f t="array" ref="M16">MAX(IF((ProjectInfoTable[ProjectName]=DiscreteStatsTable[[#This Row],[ProjectName]]),(ProjectInfoTable[ProjectName]=DiscreteStatsTable[[#This Row],[ProjectName]])*ProjectInfoTable[NumberOfReplications]))</f>
        <v>1</v>
      </c>
      <c r="N16">
        <f t="array" ref="N16">IFERROR(AVERAGE(IF((DiscreteStatsTable[GroupByKey]=DiscreteStatsTable[[#This Row],[GroupByKey]]),(DiscreteStatsTable[GroupByKey]=DiscreteStatsTable[[#This Row],[GroupByKey]])*DiscreteStatsTable[Average])),0)</f>
        <v>8.1962762735749504</v>
      </c>
      <c r="O16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6">
        <f t="array" ref="R16">MIN(IF((DiscreteStatsTable[GroupByKey]=DiscreteStatsTable[[#This Row],[GroupByKey]]),(DiscreteStatsTable[GroupByKey]=DiscreteStatsTable[[#This Row],[GroupByKey]])*DiscreteStatsTable[Average]))</f>
        <v>8.1962762735749504</v>
      </c>
      <c r="S16">
        <f t="array" ref="S16">MAX(IF((DiscreteStatsTable[GroupByKey]=DiscreteStatsTable[[#This Row],[GroupByKey]]),(DiscreteStatsTable[GroupByKey]=DiscreteStatsTable[[#This Row],[GroupByKey]])*DiscreteStatsTable[Average]))</f>
        <v>8.1962762735749504</v>
      </c>
      <c r="T16">
        <f t="array" ref="T16">MIN(IF((DiscreteStatsTable[GroupByKey]=DiscreteStatsTable[[#This Row],[GroupByKey]]),(DiscreteStatsTable[GroupByKey]=DiscreteStatsTable[[#This Row],[GroupByKey]])*DiscreteStatsTable[Minimum]))</f>
        <v>2.4792193430949001</v>
      </c>
      <c r="U16">
        <f t="array" ref="U16">MAX(IF((DiscreteStatsTable[GroupByKey]=DiscreteStatsTable[[#This Row],[GroupByKey]]),(DiscreteStatsTable[GroupByKey]=DiscreteStatsTable[[#This Row],[GroupByKey]])*DiscreteStatsTable[Maximum]))</f>
        <v>116.73203817416</v>
      </c>
      <c r="V16">
        <f t="array" ref="V16">IFERROR(AVERAGE(IF((DiscreteStatsTable[GroupByKey]=DiscreteStatsTable[[#This Row],[GroupByKey]]),(DiscreteStatsTable[GroupByKey]=DiscreteStatsTable[[#This Row],[GroupByKey]])*DiscreteStatsTable[NumberObservations])),0)</f>
        <v>51</v>
      </c>
      <c r="W16">
        <f>IF((DiscreteStatsTable[[#This Row],[RepsRequested]]&gt;1),DiscreteStatsTable[[#This Row],[HalfWidth]],DiscreteStatsTable[[#This Row],[BatchMeansHalfWidth]])</f>
        <v>2E+20</v>
      </c>
      <c r="X16">
        <f t="array" ref="X16">COUNT(IF((DiscreteStatsTable[GroupByKey]=DiscreteStatsTable[[#This Row],[GroupByKey]]),(DiscreteStatsTable[GroupByKey]=DiscreteStatsTable[[#This Row],[GroupByKey]])*DiscreteStatsTable[Replication]))</f>
        <v>1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67</v>
      </c>
      <c r="B17" t="s">
        <v>69</v>
      </c>
      <c r="C17">
        <v>1</v>
      </c>
      <c r="D17" t="s">
        <v>79</v>
      </c>
      <c r="E17" t="s">
        <v>75</v>
      </c>
      <c r="F17" t="s">
        <v>72</v>
      </c>
      <c r="G17">
        <v>0</v>
      </c>
      <c r="H17">
        <v>2E+20</v>
      </c>
      <c r="I17">
        <v>0</v>
      </c>
      <c r="J17">
        <v>0</v>
      </c>
      <c r="K17">
        <v>51</v>
      </c>
      <c r="L17" t="str">
        <f>DiscreteStatsTable[[#This Row],[ProjectName]]&amp;DiscreteStatsTable[[#This Row],[Name]]&amp;DiscreteStatsTable[[#This Row],[Type]]&amp;DiscreteStatsTable[[#This Row],[Source]]</f>
        <v>Unnamed ProjectOrder Status CallTransfer TimeEntity</v>
      </c>
      <c r="M17">
        <f t="array" ref="M17">MAX(IF((ProjectInfoTable[ProjectName]=DiscreteStatsTable[[#This Row],[ProjectName]]),(ProjectInfoTable[ProjectName]=DiscreteStatsTable[[#This Row],[ProjectName]])*ProjectInfoTable[NumberOfReplications]))</f>
        <v>1</v>
      </c>
      <c r="N17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7">
        <f t="array" ref="R17">MIN(IF((DiscreteStatsTable[GroupByKey]=DiscreteStatsTable[[#This Row],[GroupByKey]]),(DiscreteStatsTable[GroupByKey]=DiscreteStatsTable[[#This Row],[GroupByKey]])*DiscreteStatsTable[Average]))</f>
        <v>0</v>
      </c>
      <c r="S17">
        <f t="array" ref="S17">MAX(IF((DiscreteStatsTable[GroupByKey]=DiscreteStatsTable[[#This Row],[GroupByKey]]),(DiscreteStatsTable[GroupByKey]=DiscreteStatsTable[[#This Row],[GroupByKey]])*DiscreteStatsTable[Average]))</f>
        <v>0</v>
      </c>
      <c r="T17">
        <f t="array" ref="T17">MIN(IF((DiscreteStatsTable[GroupByKey]=DiscreteStatsTable[[#This Row],[GroupByKey]]),(DiscreteStatsTable[GroupByKey]=DiscreteStatsTable[[#This Row],[GroupByKey]])*DiscreteStatsTable[Minimum]))</f>
        <v>0</v>
      </c>
      <c r="U17">
        <f t="array" ref="U17">MAX(IF((DiscreteStatsTable[GroupByKey]=DiscreteStatsTable[[#This Row],[GroupByKey]]),(DiscreteStatsTable[GroupByKey]=DiscreteStatsTable[[#This Row],[GroupByKey]])*DiscreteStatsTable[Maximum]))</f>
        <v>0</v>
      </c>
      <c r="V17">
        <f t="array" ref="V17">IFERROR(AVERAGE(IF((DiscreteStatsTable[GroupByKey]=DiscreteStatsTable[[#This Row],[GroupByKey]]),(DiscreteStatsTable[GroupByKey]=DiscreteStatsTable[[#This Row],[GroupByKey]])*DiscreteStatsTable[NumberObservations])),0)</f>
        <v>51</v>
      </c>
      <c r="W17">
        <f>IF((DiscreteStatsTable[[#This Row],[RepsRequested]]&gt;1),DiscreteStatsTable[[#This Row],[HalfWidth]],DiscreteStatsTable[[#This Row],[BatchMeansHalfWidth]])</f>
        <v>2E+20</v>
      </c>
      <c r="X17">
        <f t="array" ref="X17">COUNT(IF((DiscreteStatsTable[GroupByKey]=DiscreteStatsTable[[#This Row],[GroupByKey]]),(DiscreteStatsTable[GroupByKey]=DiscreteStatsTable[[#This Row],[GroupByKey]])*DiscreteStatsTable[Replication]))</f>
        <v>1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67</v>
      </c>
      <c r="B18" t="s">
        <v>69</v>
      </c>
      <c r="C18">
        <v>1</v>
      </c>
      <c r="D18" t="s">
        <v>79</v>
      </c>
      <c r="E18" t="s">
        <v>76</v>
      </c>
      <c r="F18" t="s">
        <v>72</v>
      </c>
      <c r="G18">
        <v>0</v>
      </c>
      <c r="H18">
        <v>2E+20</v>
      </c>
      <c r="I18">
        <v>0</v>
      </c>
      <c r="J18">
        <v>0</v>
      </c>
      <c r="K18">
        <v>51</v>
      </c>
      <c r="L18" t="str">
        <f>DiscreteStatsTable[[#This Row],[ProjectName]]&amp;DiscreteStatsTable[[#This Row],[Name]]&amp;DiscreteStatsTable[[#This Row],[Type]]&amp;DiscreteStatsTable[[#This Row],[Source]]</f>
        <v>Unnamed ProjectOrder Status CallVA TimeEntity</v>
      </c>
      <c r="M18">
        <f t="array" ref="M18">MAX(IF((ProjectInfoTable[ProjectName]=DiscreteStatsTable[[#This Row],[ProjectName]]),(ProjectInfoTable[ProjectName]=DiscreteStatsTable[[#This Row],[ProjectName]])*ProjectInfoTable[NumberOfReplications]))</f>
        <v>1</v>
      </c>
      <c r="N18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8">
        <f t="array" ref="R18">MIN(IF((DiscreteStatsTable[GroupByKey]=DiscreteStatsTable[[#This Row],[GroupByKey]]),(DiscreteStatsTable[GroupByKey]=DiscreteStatsTable[[#This Row],[GroupByKey]])*DiscreteStatsTable[Average]))</f>
        <v>0</v>
      </c>
      <c r="S18">
        <f t="array" ref="S18">MAX(IF((DiscreteStatsTable[GroupByKey]=DiscreteStatsTable[[#This Row],[GroupByKey]]),(DiscreteStatsTable[GroupByKey]=DiscreteStatsTable[[#This Row],[GroupByKey]])*DiscreteStatsTable[Average]))</f>
        <v>0</v>
      </c>
      <c r="T18">
        <f t="array" ref="T18">MIN(IF((DiscreteStatsTable[GroupByKey]=DiscreteStatsTable[[#This Row],[GroupByKey]]),(DiscreteStatsTable[GroupByKey]=DiscreteStatsTable[[#This Row],[GroupByKey]])*DiscreteStatsTable[Minimum]))</f>
        <v>0</v>
      </c>
      <c r="U18">
        <f t="array" ref="U18">MAX(IF((DiscreteStatsTable[GroupByKey]=DiscreteStatsTable[[#This Row],[GroupByKey]]),(DiscreteStatsTable[GroupByKey]=DiscreteStatsTable[[#This Row],[GroupByKey]])*DiscreteStatsTable[Maximum]))</f>
        <v>0</v>
      </c>
      <c r="V18">
        <f t="array" ref="V18">IFERROR(AVERAGE(IF((DiscreteStatsTable[GroupByKey]=DiscreteStatsTable[[#This Row],[GroupByKey]]),(DiscreteStatsTable[GroupByKey]=DiscreteStatsTable[[#This Row],[GroupByKey]])*DiscreteStatsTable[NumberObservations])),0)</f>
        <v>51</v>
      </c>
      <c r="W18">
        <f>IF((DiscreteStatsTable[[#This Row],[RepsRequested]]&gt;1),DiscreteStatsTable[[#This Row],[HalfWidth]],DiscreteStatsTable[[#This Row],[BatchMeansHalfWidth]])</f>
        <v>2E+20</v>
      </c>
      <c r="X18">
        <f t="array" ref="X18">COUNT(IF((DiscreteStatsTable[GroupByKey]=DiscreteStatsTable[[#This Row],[GroupByKey]]),(DiscreteStatsTable[GroupByKey]=DiscreteStatsTable[[#This Row],[GroupByKey]])*DiscreteStatsTable[Replication]))</f>
        <v>1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67</v>
      </c>
      <c r="B19" t="s">
        <v>69</v>
      </c>
      <c r="C19">
        <v>1</v>
      </c>
      <c r="D19" t="s">
        <v>79</v>
      </c>
      <c r="E19" t="s">
        <v>77</v>
      </c>
      <c r="F19" t="s">
        <v>72</v>
      </c>
      <c r="G19">
        <v>4.4524711398219496</v>
      </c>
      <c r="H19">
        <v>2E+20</v>
      </c>
      <c r="I19">
        <v>0</v>
      </c>
      <c r="J19">
        <v>110.709165323538</v>
      </c>
      <c r="K19">
        <v>51</v>
      </c>
      <c r="L19" t="str">
        <f>DiscreteStatsTable[[#This Row],[ProjectName]]&amp;DiscreteStatsTable[[#This Row],[Name]]&amp;DiscreteStatsTable[[#This Row],[Type]]&amp;DiscreteStatsTable[[#This Row],[Source]]</f>
        <v>Unnamed ProjectOrder Status CallWait TimeEntity</v>
      </c>
      <c r="M19">
        <f t="array" ref="M19">MAX(IF((ProjectInfoTable[ProjectName]=DiscreteStatsTable[[#This Row],[ProjectName]]),(ProjectInfoTable[ProjectName]=DiscreteStatsTable[[#This Row],[ProjectName]])*ProjectInfoTable[NumberOfReplications]))</f>
        <v>1</v>
      </c>
      <c r="N19">
        <f t="array" ref="N19">IFERROR(AVERAGE(IF((DiscreteStatsTable[GroupByKey]=DiscreteStatsTable[[#This Row],[GroupByKey]]),(DiscreteStatsTable[GroupByKey]=DiscreteStatsTable[[#This Row],[GroupByKey]])*DiscreteStatsTable[Average])),0)</f>
        <v>4.4524711398219496</v>
      </c>
      <c r="O19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9">
        <f t="array" ref="R19">MIN(IF((DiscreteStatsTable[GroupByKey]=DiscreteStatsTable[[#This Row],[GroupByKey]]),(DiscreteStatsTable[GroupByKey]=DiscreteStatsTable[[#This Row],[GroupByKey]])*DiscreteStatsTable[Average]))</f>
        <v>4.4524711398219496</v>
      </c>
      <c r="S19">
        <f t="array" ref="S19">MAX(IF((DiscreteStatsTable[GroupByKey]=DiscreteStatsTable[[#This Row],[GroupByKey]]),(DiscreteStatsTable[GroupByKey]=DiscreteStatsTable[[#This Row],[GroupByKey]])*DiscreteStatsTable[Average]))</f>
        <v>4.4524711398219496</v>
      </c>
      <c r="T19">
        <f t="array" ref="T19">MIN(IF((DiscreteStatsTable[GroupByKey]=DiscreteStatsTable[[#This Row],[GroupByKey]]),(DiscreteStatsTable[GroupByKey]=DiscreteStatsTable[[#This Row],[GroupByKey]])*DiscreteStatsTable[Minimum]))</f>
        <v>0</v>
      </c>
      <c r="U19">
        <f t="array" ref="U19">MAX(IF((DiscreteStatsTable[GroupByKey]=DiscreteStatsTable[[#This Row],[GroupByKey]]),(DiscreteStatsTable[GroupByKey]=DiscreteStatsTable[[#This Row],[GroupByKey]])*DiscreteStatsTable[Maximum]))</f>
        <v>110.709165323538</v>
      </c>
      <c r="V19">
        <f t="array" ref="V19">IFERROR(AVERAGE(IF((DiscreteStatsTable[GroupByKey]=DiscreteStatsTable[[#This Row],[GroupByKey]]),(DiscreteStatsTable[GroupByKey]=DiscreteStatsTable[[#This Row],[GroupByKey]])*DiscreteStatsTable[NumberObservations])),0)</f>
        <v>51</v>
      </c>
      <c r="W19">
        <f>IF((DiscreteStatsTable[[#This Row],[RepsRequested]]&gt;1),DiscreteStatsTable[[#This Row],[HalfWidth]],DiscreteStatsTable[[#This Row],[BatchMeansHalfWidth]])</f>
        <v>2E+20</v>
      </c>
      <c r="X19">
        <f t="array" ref="X19">COUNT(IF((DiscreteStatsTable[GroupByKey]=DiscreteStatsTable[[#This Row],[GroupByKey]]),(DiscreteStatsTable[GroupByKey]=DiscreteStatsTable[[#This Row],[GroupByKey]])*DiscreteStatsTable[Replication]))</f>
        <v>1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67</v>
      </c>
      <c r="B20" t="s">
        <v>69</v>
      </c>
      <c r="C20">
        <v>1</v>
      </c>
      <c r="D20" t="s">
        <v>80</v>
      </c>
      <c r="E20" t="s">
        <v>81</v>
      </c>
      <c r="F20" t="s">
        <v>82</v>
      </c>
      <c r="G20">
        <v>25.7528061044598</v>
      </c>
      <c r="H20">
        <v>2E+20</v>
      </c>
      <c r="I20">
        <v>0</v>
      </c>
      <c r="J20">
        <v>55.448830613305503</v>
      </c>
      <c r="K20">
        <v>132</v>
      </c>
      <c r="L20" t="str">
        <f>DiscreteStatsTable[[#This Row],[ProjectName]]&amp;DiscreteStatsTable[[#This Row],[Name]]&amp;DiscreteStatsTable[[#This Row],[Type]]&amp;DiscreteStatsTable[[#This Row],[Source]]</f>
        <v>Unnamed ProjectProcess Product Type 1.QueueWaiting TimeQueue</v>
      </c>
      <c r="M20">
        <f t="array" ref="M20">MAX(IF((ProjectInfoTable[ProjectName]=DiscreteStatsTable[[#This Row],[ProjectName]]),(ProjectInfoTable[ProjectName]=DiscreteStatsTable[[#This Row],[ProjectName]])*ProjectInfoTable[NumberOfReplications]))</f>
        <v>1</v>
      </c>
      <c r="N20">
        <f t="array" ref="N20">IFERROR(AVERAGE(IF((DiscreteStatsTable[GroupByKey]=DiscreteStatsTable[[#This Row],[GroupByKey]]),(DiscreteStatsTable[GroupByKey]=DiscreteStatsTable[[#This Row],[GroupByKey]])*DiscreteStatsTable[Average])),0)</f>
        <v>25.7528061044598</v>
      </c>
      <c r="O20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0">
        <f t="array" ref="R20">MIN(IF((DiscreteStatsTable[GroupByKey]=DiscreteStatsTable[[#This Row],[GroupByKey]]),(DiscreteStatsTable[GroupByKey]=DiscreteStatsTable[[#This Row],[GroupByKey]])*DiscreteStatsTable[Average]))</f>
        <v>25.7528061044598</v>
      </c>
      <c r="S20">
        <f t="array" ref="S20">MAX(IF((DiscreteStatsTable[GroupByKey]=DiscreteStatsTable[[#This Row],[GroupByKey]]),(DiscreteStatsTable[GroupByKey]=DiscreteStatsTable[[#This Row],[GroupByKey]])*DiscreteStatsTable[Average]))</f>
        <v>25.7528061044598</v>
      </c>
      <c r="T20">
        <f t="array" ref="T20">MIN(IF((DiscreteStatsTable[GroupByKey]=DiscreteStatsTable[[#This Row],[GroupByKey]]),(DiscreteStatsTable[GroupByKey]=DiscreteStatsTable[[#This Row],[GroupByKey]])*DiscreteStatsTable[Minimum]))</f>
        <v>0</v>
      </c>
      <c r="U20">
        <f t="array" ref="U20">MAX(IF((DiscreteStatsTable[GroupByKey]=DiscreteStatsTable[[#This Row],[GroupByKey]]),(DiscreteStatsTable[GroupByKey]=DiscreteStatsTable[[#This Row],[GroupByKey]])*DiscreteStatsTable[Maximum]))</f>
        <v>55.448830613305503</v>
      </c>
      <c r="V20">
        <f t="array" ref="V20">IFERROR(AVERAGE(IF((DiscreteStatsTable[GroupByKey]=DiscreteStatsTable[[#This Row],[GroupByKey]]),(DiscreteStatsTable[GroupByKey]=DiscreteStatsTable[[#This Row],[GroupByKey]])*DiscreteStatsTable[NumberObservations])),0)</f>
        <v>132</v>
      </c>
      <c r="W20">
        <f>IF((DiscreteStatsTable[[#This Row],[RepsRequested]]&gt;1),DiscreteStatsTable[[#This Row],[HalfWidth]],DiscreteStatsTable[[#This Row],[BatchMeansHalfWidth]])</f>
        <v>2E+20</v>
      </c>
      <c r="X20">
        <f t="array" ref="X20">COUNT(IF((DiscreteStatsTable[GroupByKey]=DiscreteStatsTable[[#This Row],[GroupByKey]]),(DiscreteStatsTable[GroupByKey]=DiscreteStatsTable[[#This Row],[GroupByKey]])*DiscreteStatsTable[Replication]))</f>
        <v>1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67</v>
      </c>
      <c r="B21" t="s">
        <v>69</v>
      </c>
      <c r="C21">
        <v>1</v>
      </c>
      <c r="D21" t="s">
        <v>83</v>
      </c>
      <c r="E21" t="s">
        <v>81</v>
      </c>
      <c r="F21" t="s">
        <v>82</v>
      </c>
      <c r="G21">
        <v>2.5360388385411499</v>
      </c>
      <c r="H21">
        <v>2E+20</v>
      </c>
      <c r="I21">
        <v>0</v>
      </c>
      <c r="J21">
        <v>13.9285767702473</v>
      </c>
      <c r="K21">
        <v>162</v>
      </c>
      <c r="L21" t="str">
        <f>DiscreteStatsTable[[#This Row],[ProjectName]]&amp;DiscreteStatsTable[[#This Row],[Name]]&amp;DiscreteStatsTable[[#This Row],[Type]]&amp;DiscreteStatsTable[[#This Row],[Source]]</f>
        <v>Unnamed ProjectProcess Product Type 2.QueueWaiting TimeQueue</v>
      </c>
      <c r="M21">
        <f t="array" ref="M21">MAX(IF((ProjectInfoTable[ProjectName]=DiscreteStatsTable[[#This Row],[ProjectName]]),(ProjectInfoTable[ProjectName]=DiscreteStatsTable[[#This Row],[ProjectName]])*ProjectInfoTable[NumberOfReplications]))</f>
        <v>1</v>
      </c>
      <c r="N21">
        <f t="array" ref="N21">IFERROR(AVERAGE(IF((DiscreteStatsTable[GroupByKey]=DiscreteStatsTable[[#This Row],[GroupByKey]]),(DiscreteStatsTable[GroupByKey]=DiscreteStatsTable[[#This Row],[GroupByKey]])*DiscreteStatsTable[Average])),0)</f>
        <v>2.5360388385411499</v>
      </c>
      <c r="O2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1">
        <f t="array" ref="R21">MIN(IF((DiscreteStatsTable[GroupByKey]=DiscreteStatsTable[[#This Row],[GroupByKey]]),(DiscreteStatsTable[GroupByKey]=DiscreteStatsTable[[#This Row],[GroupByKey]])*DiscreteStatsTable[Average]))</f>
        <v>2.5360388385411499</v>
      </c>
      <c r="S21">
        <f t="array" ref="S21">MAX(IF((DiscreteStatsTable[GroupByKey]=DiscreteStatsTable[[#This Row],[GroupByKey]]),(DiscreteStatsTable[GroupByKey]=DiscreteStatsTable[[#This Row],[GroupByKey]])*DiscreteStatsTable[Average]))</f>
        <v>2.5360388385411499</v>
      </c>
      <c r="T21">
        <f t="array" ref="T21">MIN(IF((DiscreteStatsTable[GroupByKey]=DiscreteStatsTable[[#This Row],[GroupByKey]]),(DiscreteStatsTable[GroupByKey]=DiscreteStatsTable[[#This Row],[GroupByKey]])*DiscreteStatsTable[Minimum]))</f>
        <v>0</v>
      </c>
      <c r="U21">
        <f t="array" ref="U21">MAX(IF((DiscreteStatsTable[GroupByKey]=DiscreteStatsTable[[#This Row],[GroupByKey]]),(DiscreteStatsTable[GroupByKey]=DiscreteStatsTable[[#This Row],[GroupByKey]])*DiscreteStatsTable[Maximum]))</f>
        <v>13.9285767702473</v>
      </c>
      <c r="V21">
        <f t="array" ref="V21">IFERROR(AVERAGE(IF((DiscreteStatsTable[GroupByKey]=DiscreteStatsTable[[#This Row],[GroupByKey]]),(DiscreteStatsTable[GroupByKey]=DiscreteStatsTable[[#This Row],[GroupByKey]])*DiscreteStatsTable[NumberObservations])),0)</f>
        <v>162</v>
      </c>
      <c r="W21">
        <f>IF((DiscreteStatsTable[[#This Row],[RepsRequested]]&gt;1),DiscreteStatsTable[[#This Row],[HalfWidth]],DiscreteStatsTable[[#This Row],[BatchMeansHalfWidth]])</f>
        <v>2E+20</v>
      </c>
      <c r="X21">
        <f t="array" ref="X21">COUNT(IF((DiscreteStatsTable[GroupByKey]=DiscreteStatsTable[[#This Row],[GroupByKey]]),(DiscreteStatsTable[GroupByKey]=DiscreteStatsTable[[#This Row],[GroupByKey]])*DiscreteStatsTable[Replication]))</f>
        <v>1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67</v>
      </c>
      <c r="B22" t="s">
        <v>69</v>
      </c>
      <c r="C22">
        <v>1</v>
      </c>
      <c r="D22" t="s">
        <v>84</v>
      </c>
      <c r="E22" t="s">
        <v>81</v>
      </c>
      <c r="F22" t="s">
        <v>82</v>
      </c>
      <c r="G22">
        <v>3.6833128244012499</v>
      </c>
      <c r="H22">
        <v>2E+20</v>
      </c>
      <c r="I22">
        <v>0</v>
      </c>
      <c r="J22">
        <v>13.877365122289101</v>
      </c>
      <c r="K22">
        <v>198</v>
      </c>
      <c r="L22" t="str">
        <f>DiscreteStatsTable[[#This Row],[ProjectName]]&amp;DiscreteStatsTable[[#This Row],[Name]]&amp;DiscreteStatsTable[[#This Row],[Type]]&amp;DiscreteStatsTable[[#This Row],[Source]]</f>
        <v>Unnamed ProjectProcess Product Type 3.QueueWaiting TimeQueue</v>
      </c>
      <c r="M22">
        <f t="array" ref="M22">MAX(IF((ProjectInfoTable[ProjectName]=DiscreteStatsTable[[#This Row],[ProjectName]]),(ProjectInfoTable[ProjectName]=DiscreteStatsTable[[#This Row],[ProjectName]])*ProjectInfoTable[NumberOfReplications]))</f>
        <v>1</v>
      </c>
      <c r="N22">
        <f t="array" ref="N22">IFERROR(AVERAGE(IF((DiscreteStatsTable[GroupByKey]=DiscreteStatsTable[[#This Row],[GroupByKey]]),(DiscreteStatsTable[GroupByKey]=DiscreteStatsTable[[#This Row],[GroupByKey]])*DiscreteStatsTable[Average])),0)</f>
        <v>3.6833128244012499</v>
      </c>
      <c r="O22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2">
        <f t="array" ref="R22">MIN(IF((DiscreteStatsTable[GroupByKey]=DiscreteStatsTable[[#This Row],[GroupByKey]]),(DiscreteStatsTable[GroupByKey]=DiscreteStatsTable[[#This Row],[GroupByKey]])*DiscreteStatsTable[Average]))</f>
        <v>3.6833128244012499</v>
      </c>
      <c r="S22">
        <f t="array" ref="S22">MAX(IF((DiscreteStatsTable[GroupByKey]=DiscreteStatsTable[[#This Row],[GroupByKey]]),(DiscreteStatsTable[GroupByKey]=DiscreteStatsTable[[#This Row],[GroupByKey]])*DiscreteStatsTable[Average]))</f>
        <v>3.6833128244012499</v>
      </c>
      <c r="T22">
        <f t="array" ref="T22">MIN(IF((DiscreteStatsTable[GroupByKey]=DiscreteStatsTable[[#This Row],[GroupByKey]]),(DiscreteStatsTable[GroupByKey]=DiscreteStatsTable[[#This Row],[GroupByKey]])*DiscreteStatsTable[Minimum]))</f>
        <v>0</v>
      </c>
      <c r="U22">
        <f t="array" ref="U22">MAX(IF((DiscreteStatsTable[GroupByKey]=DiscreteStatsTable[[#This Row],[GroupByKey]]),(DiscreteStatsTable[GroupByKey]=DiscreteStatsTable[[#This Row],[GroupByKey]])*DiscreteStatsTable[Maximum]))</f>
        <v>13.877365122289101</v>
      </c>
      <c r="V22">
        <f t="array" ref="V22">IFERROR(AVERAGE(IF((DiscreteStatsTable[GroupByKey]=DiscreteStatsTable[[#This Row],[GroupByKey]]),(DiscreteStatsTable[GroupByKey]=DiscreteStatsTable[[#This Row],[GroupByKey]])*DiscreteStatsTable[NumberObservations])),0)</f>
        <v>198</v>
      </c>
      <c r="W22">
        <f>IF((DiscreteStatsTable[[#This Row],[RepsRequested]]&gt;1),DiscreteStatsTable[[#This Row],[HalfWidth]],DiscreteStatsTable[[#This Row],[BatchMeansHalfWidth]])</f>
        <v>2E+20</v>
      </c>
      <c r="X22">
        <f t="array" ref="X22">COUNT(IF((DiscreteStatsTable[GroupByKey]=DiscreteStatsTable[[#This Row],[GroupByKey]]),(DiscreteStatsTable[GroupByKey]=DiscreteStatsTable[[#This Row],[GroupByKey]])*DiscreteStatsTable[Replication]))</f>
        <v>1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67</v>
      </c>
      <c r="B23" t="s">
        <v>69</v>
      </c>
      <c r="C23">
        <v>1</v>
      </c>
      <c r="D23" t="s">
        <v>85</v>
      </c>
      <c r="E23" t="s">
        <v>81</v>
      </c>
      <c r="F23" t="s">
        <v>82</v>
      </c>
      <c r="G23">
        <v>12.618847063862001</v>
      </c>
      <c r="H23">
        <v>2E+20</v>
      </c>
      <c r="I23">
        <v>0</v>
      </c>
      <c r="J23">
        <v>110.709165323538</v>
      </c>
      <c r="K23">
        <v>106</v>
      </c>
      <c r="L23" t="str">
        <f>DiscreteStatsTable[[#This Row],[ProjectName]]&amp;DiscreteStatsTable[[#This Row],[Name]]&amp;DiscreteStatsTable[[#This Row],[Type]]&amp;DiscreteStatsTable[[#This Row],[Source]]</f>
        <v>Unnamed ProjectProcess Sales Call.QueueWaiting TimeQueue</v>
      </c>
      <c r="M23">
        <f t="array" ref="M23">MAX(IF((ProjectInfoTable[ProjectName]=DiscreteStatsTable[[#This Row],[ProjectName]]),(ProjectInfoTable[ProjectName]=DiscreteStatsTable[[#This Row],[ProjectName]])*ProjectInfoTable[NumberOfReplications]))</f>
        <v>1</v>
      </c>
      <c r="N23">
        <f t="array" ref="N23">IFERROR(AVERAGE(IF((DiscreteStatsTable[GroupByKey]=DiscreteStatsTable[[#This Row],[GroupByKey]]),(DiscreteStatsTable[GroupByKey]=DiscreteStatsTable[[#This Row],[GroupByKey]])*DiscreteStatsTable[Average])),0)</f>
        <v>12.618847063862001</v>
      </c>
      <c r="O23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3">
        <f t="array" ref="R23">MIN(IF((DiscreteStatsTable[GroupByKey]=DiscreteStatsTable[[#This Row],[GroupByKey]]),(DiscreteStatsTable[GroupByKey]=DiscreteStatsTable[[#This Row],[GroupByKey]])*DiscreteStatsTable[Average]))</f>
        <v>12.618847063862001</v>
      </c>
      <c r="S23">
        <f t="array" ref="S23">MAX(IF((DiscreteStatsTable[GroupByKey]=DiscreteStatsTable[[#This Row],[GroupByKey]]),(DiscreteStatsTable[GroupByKey]=DiscreteStatsTable[[#This Row],[GroupByKey]])*DiscreteStatsTable[Average]))</f>
        <v>12.618847063862001</v>
      </c>
      <c r="T23">
        <f t="array" ref="T23">MIN(IF((DiscreteStatsTable[GroupByKey]=DiscreteStatsTable[[#This Row],[GroupByKey]]),(DiscreteStatsTable[GroupByKey]=DiscreteStatsTable[[#This Row],[GroupByKey]])*DiscreteStatsTable[Minimum]))</f>
        <v>0</v>
      </c>
      <c r="U23">
        <f t="array" ref="U23">MAX(IF((DiscreteStatsTable[GroupByKey]=DiscreteStatsTable[[#This Row],[GroupByKey]]),(DiscreteStatsTable[GroupByKey]=DiscreteStatsTable[[#This Row],[GroupByKey]])*DiscreteStatsTable[Maximum]))</f>
        <v>110.709165323538</v>
      </c>
      <c r="V23">
        <f t="array" ref="V23">IFERROR(AVERAGE(IF((DiscreteStatsTable[GroupByKey]=DiscreteStatsTable[[#This Row],[GroupByKey]]),(DiscreteStatsTable[GroupByKey]=DiscreteStatsTable[[#This Row],[GroupByKey]])*DiscreteStatsTable[NumberObservations])),0)</f>
        <v>106</v>
      </c>
      <c r="W23">
        <f>IF((DiscreteStatsTable[[#This Row],[RepsRequested]]&gt;1),DiscreteStatsTable[[#This Row],[HalfWidth]],DiscreteStatsTable[[#This Row],[BatchMeansHalfWidth]])</f>
        <v>2E+20</v>
      </c>
      <c r="X23">
        <f t="array" ref="X23">COUNT(IF((DiscreteStatsTable[GroupByKey]=DiscreteStatsTable[[#This Row],[GroupByKey]]),(DiscreteStatsTable[GroupByKey]=DiscreteStatsTable[[#This Row],[GroupByKey]])*DiscreteStatsTable[Replication]))</f>
        <v>1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67</v>
      </c>
      <c r="B24" t="s">
        <v>69</v>
      </c>
      <c r="C24">
        <v>1</v>
      </c>
      <c r="D24" t="s">
        <v>86</v>
      </c>
      <c r="E24" t="s">
        <v>71</v>
      </c>
      <c r="F24" t="s">
        <v>72</v>
      </c>
      <c r="G24">
        <v>0</v>
      </c>
      <c r="H24">
        <v>2E+20</v>
      </c>
      <c r="I24">
        <v>0</v>
      </c>
      <c r="J24">
        <v>0</v>
      </c>
      <c r="K24">
        <v>100</v>
      </c>
      <c r="L24" t="str">
        <f>DiscreteStatsTable[[#This Row],[ProjectName]]&amp;DiscreteStatsTable[[#This Row],[Name]]&amp;DiscreteStatsTable[[#This Row],[Type]]&amp;DiscreteStatsTable[[#This Row],[Source]]</f>
        <v>Unnamed ProjectSales CallNVA TimeEntity</v>
      </c>
      <c r="M24">
        <f t="array" ref="M24">MAX(IF((ProjectInfoTable[ProjectName]=DiscreteStatsTable[[#This Row],[ProjectName]]),(ProjectInfoTable[ProjectName]=DiscreteStatsTable[[#This Row],[ProjectName]])*ProjectInfoTable[NumberOfReplications]))</f>
        <v>1</v>
      </c>
      <c r="N24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4">
        <f t="array" ref="R24">MIN(IF((DiscreteStatsTable[GroupByKey]=DiscreteStatsTable[[#This Row],[GroupByKey]]),(DiscreteStatsTable[GroupByKey]=DiscreteStatsTable[[#This Row],[GroupByKey]])*DiscreteStatsTable[Average]))</f>
        <v>0</v>
      </c>
      <c r="S24">
        <f t="array" ref="S24">MAX(IF((DiscreteStatsTable[GroupByKey]=DiscreteStatsTable[[#This Row],[GroupByKey]]),(DiscreteStatsTable[GroupByKey]=DiscreteStatsTable[[#This Row],[GroupByKey]])*DiscreteStatsTable[Average]))</f>
        <v>0</v>
      </c>
      <c r="T24">
        <f t="array" ref="T24">MIN(IF((DiscreteStatsTable[GroupByKey]=DiscreteStatsTable[[#This Row],[GroupByKey]]),(DiscreteStatsTable[GroupByKey]=DiscreteStatsTable[[#This Row],[GroupByKey]])*DiscreteStatsTable[Minimum]))</f>
        <v>0</v>
      </c>
      <c r="U24">
        <f t="array" ref="U24">MAX(IF((DiscreteStatsTable[GroupByKey]=DiscreteStatsTable[[#This Row],[GroupByKey]]),(DiscreteStatsTable[GroupByKey]=DiscreteStatsTable[[#This Row],[GroupByKey]])*DiscreteStatsTable[Maximum]))</f>
        <v>0</v>
      </c>
      <c r="V24">
        <f t="array" ref="V24">IFERROR(AVERAGE(IF((DiscreteStatsTable[GroupByKey]=DiscreteStatsTable[[#This Row],[GroupByKey]]),(DiscreteStatsTable[GroupByKey]=DiscreteStatsTable[[#This Row],[GroupByKey]])*DiscreteStatsTable[NumberObservations])),0)</f>
        <v>100</v>
      </c>
      <c r="W24">
        <f>IF((DiscreteStatsTable[[#This Row],[RepsRequested]]&gt;1),DiscreteStatsTable[[#This Row],[HalfWidth]],DiscreteStatsTable[[#This Row],[BatchMeansHalfWidth]])</f>
        <v>2E+20</v>
      </c>
      <c r="X24">
        <f t="array" ref="X24">COUNT(IF((DiscreteStatsTable[GroupByKey]=DiscreteStatsTable[[#This Row],[GroupByKey]]),(DiscreteStatsTable[GroupByKey]=DiscreteStatsTable[[#This Row],[GroupByKey]])*DiscreteStatsTable[Replication]))</f>
        <v>1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67</v>
      </c>
      <c r="B25" t="s">
        <v>69</v>
      </c>
      <c r="C25">
        <v>1</v>
      </c>
      <c r="D25" t="s">
        <v>86</v>
      </c>
      <c r="E25" t="s">
        <v>73</v>
      </c>
      <c r="F25" t="s">
        <v>72</v>
      </c>
      <c r="G25">
        <v>0.31701609927145202</v>
      </c>
      <c r="H25">
        <v>2E+20</v>
      </c>
      <c r="I25">
        <v>0.100708315439533</v>
      </c>
      <c r="J25">
        <v>0.596573227058116</v>
      </c>
      <c r="K25">
        <v>100</v>
      </c>
      <c r="L25" t="str">
        <f>DiscreteStatsTable[[#This Row],[ProjectName]]&amp;DiscreteStatsTable[[#This Row],[Name]]&amp;DiscreteStatsTable[[#This Row],[Type]]&amp;DiscreteStatsTable[[#This Row],[Source]]</f>
        <v>Unnamed ProjectSales CallOther TimeEntity</v>
      </c>
      <c r="M25">
        <f t="array" ref="M25">MAX(IF((ProjectInfoTable[ProjectName]=DiscreteStatsTable[[#This Row],[ProjectName]]),(ProjectInfoTable[ProjectName]=DiscreteStatsTable[[#This Row],[ProjectName]])*ProjectInfoTable[NumberOfReplications]))</f>
        <v>1</v>
      </c>
      <c r="N25">
        <f t="array" ref="N25">IFERROR(AVERAGE(IF((DiscreteStatsTable[GroupByKey]=DiscreteStatsTable[[#This Row],[GroupByKey]]),(DiscreteStatsTable[GroupByKey]=DiscreteStatsTable[[#This Row],[GroupByKey]])*DiscreteStatsTable[Average])),0)</f>
        <v>0.31701609927145202</v>
      </c>
      <c r="O25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5">
        <f t="array" ref="R25">MIN(IF((DiscreteStatsTable[GroupByKey]=DiscreteStatsTable[[#This Row],[GroupByKey]]),(DiscreteStatsTable[GroupByKey]=DiscreteStatsTable[[#This Row],[GroupByKey]])*DiscreteStatsTable[Average]))</f>
        <v>0.31701609927145202</v>
      </c>
      <c r="S25">
        <f t="array" ref="S25">MAX(IF((DiscreteStatsTable[GroupByKey]=DiscreteStatsTable[[#This Row],[GroupByKey]]),(DiscreteStatsTable[GroupByKey]=DiscreteStatsTable[[#This Row],[GroupByKey]])*DiscreteStatsTable[Average]))</f>
        <v>0.31701609927145202</v>
      </c>
      <c r="T25">
        <f t="array" ref="T25">MIN(IF((DiscreteStatsTable[GroupByKey]=DiscreteStatsTable[[#This Row],[GroupByKey]]),(DiscreteStatsTable[GroupByKey]=DiscreteStatsTable[[#This Row],[GroupByKey]])*DiscreteStatsTable[Minimum]))</f>
        <v>0.100708315439533</v>
      </c>
      <c r="U25">
        <f t="array" ref="U25">MAX(IF((DiscreteStatsTable[GroupByKey]=DiscreteStatsTable[[#This Row],[GroupByKey]]),(DiscreteStatsTable[GroupByKey]=DiscreteStatsTable[[#This Row],[GroupByKey]])*DiscreteStatsTable[Maximum]))</f>
        <v>0.596573227058116</v>
      </c>
      <c r="V25">
        <f t="array" ref="V25">IFERROR(AVERAGE(IF((DiscreteStatsTable[GroupByKey]=DiscreteStatsTable[[#This Row],[GroupByKey]]),(DiscreteStatsTable[GroupByKey]=DiscreteStatsTable[[#This Row],[GroupByKey]])*DiscreteStatsTable[NumberObservations])),0)</f>
        <v>100</v>
      </c>
      <c r="W25">
        <f>IF((DiscreteStatsTable[[#This Row],[RepsRequested]]&gt;1),DiscreteStatsTable[[#This Row],[HalfWidth]],DiscreteStatsTable[[#This Row],[BatchMeansHalfWidth]])</f>
        <v>2E+20</v>
      </c>
      <c r="X25">
        <f t="array" ref="X25">COUNT(IF((DiscreteStatsTable[GroupByKey]=DiscreteStatsTable[[#This Row],[GroupByKey]]),(DiscreteStatsTable[GroupByKey]=DiscreteStatsTable[[#This Row],[GroupByKey]])*DiscreteStatsTable[Replication]))</f>
        <v>1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67</v>
      </c>
      <c r="B26" t="s">
        <v>69</v>
      </c>
      <c r="C26">
        <v>1</v>
      </c>
      <c r="D26" t="s">
        <v>86</v>
      </c>
      <c r="E26" t="s">
        <v>74</v>
      </c>
      <c r="F26" t="s">
        <v>72</v>
      </c>
      <c r="G26">
        <v>32.053779692992897</v>
      </c>
      <c r="H26">
        <v>2E+20</v>
      </c>
      <c r="I26">
        <v>6.5884965913086297</v>
      </c>
      <c r="J26">
        <v>74.533007375472806</v>
      </c>
      <c r="K26">
        <v>100</v>
      </c>
      <c r="L26" t="str">
        <f>DiscreteStatsTable[[#This Row],[ProjectName]]&amp;DiscreteStatsTable[[#This Row],[Name]]&amp;DiscreteStatsTable[[#This Row],[Type]]&amp;DiscreteStatsTable[[#This Row],[Source]]</f>
        <v>Unnamed ProjectSales CallTotal TimeEntity</v>
      </c>
      <c r="M26">
        <f t="array" ref="M26">MAX(IF((ProjectInfoTable[ProjectName]=DiscreteStatsTable[[#This Row],[ProjectName]]),(ProjectInfoTable[ProjectName]=DiscreteStatsTable[[#This Row],[ProjectName]])*ProjectInfoTable[NumberOfReplications]))</f>
        <v>1</v>
      </c>
      <c r="N26">
        <f t="array" ref="N26">IFERROR(AVERAGE(IF((DiscreteStatsTable[GroupByKey]=DiscreteStatsTable[[#This Row],[GroupByKey]]),(DiscreteStatsTable[GroupByKey]=DiscreteStatsTable[[#This Row],[GroupByKey]])*DiscreteStatsTable[Average])),0)</f>
        <v>32.053779692992897</v>
      </c>
      <c r="O26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6">
        <f t="array" ref="R26">MIN(IF((DiscreteStatsTable[GroupByKey]=DiscreteStatsTable[[#This Row],[GroupByKey]]),(DiscreteStatsTable[GroupByKey]=DiscreteStatsTable[[#This Row],[GroupByKey]])*DiscreteStatsTable[Average]))</f>
        <v>32.053779692992897</v>
      </c>
      <c r="S26">
        <f t="array" ref="S26">MAX(IF((DiscreteStatsTable[GroupByKey]=DiscreteStatsTable[[#This Row],[GroupByKey]]),(DiscreteStatsTable[GroupByKey]=DiscreteStatsTable[[#This Row],[GroupByKey]])*DiscreteStatsTable[Average]))</f>
        <v>32.053779692992897</v>
      </c>
      <c r="T26">
        <f t="array" ref="T26">MIN(IF((DiscreteStatsTable[GroupByKey]=DiscreteStatsTable[[#This Row],[GroupByKey]]),(DiscreteStatsTable[GroupByKey]=DiscreteStatsTable[[#This Row],[GroupByKey]])*DiscreteStatsTable[Minimum]))</f>
        <v>6.5884965913086297</v>
      </c>
      <c r="U26">
        <f t="array" ref="U26">MAX(IF((DiscreteStatsTable[GroupByKey]=DiscreteStatsTable[[#This Row],[GroupByKey]]),(DiscreteStatsTable[GroupByKey]=DiscreteStatsTable[[#This Row],[GroupByKey]])*DiscreteStatsTable[Maximum]))</f>
        <v>74.533007375472806</v>
      </c>
      <c r="V26">
        <f t="array" ref="V26">IFERROR(AVERAGE(IF((DiscreteStatsTable[GroupByKey]=DiscreteStatsTable[[#This Row],[GroupByKey]]),(DiscreteStatsTable[GroupByKey]=DiscreteStatsTable[[#This Row],[GroupByKey]])*DiscreteStatsTable[NumberObservations])),0)</f>
        <v>100</v>
      </c>
      <c r="W26">
        <f>IF((DiscreteStatsTable[[#This Row],[RepsRequested]]&gt;1),DiscreteStatsTable[[#This Row],[HalfWidth]],DiscreteStatsTable[[#This Row],[BatchMeansHalfWidth]])</f>
        <v>2E+20</v>
      </c>
      <c r="X26">
        <f t="array" ref="X26">COUNT(IF((DiscreteStatsTable[GroupByKey]=DiscreteStatsTable[[#This Row],[GroupByKey]]),(DiscreteStatsTable[GroupByKey]=DiscreteStatsTable[[#This Row],[GroupByKey]])*DiscreteStatsTable[Replication]))</f>
        <v>1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67</v>
      </c>
      <c r="B27" t="s">
        <v>69</v>
      </c>
      <c r="C27">
        <v>1</v>
      </c>
      <c r="D27" t="s">
        <v>86</v>
      </c>
      <c r="E27" t="s">
        <v>75</v>
      </c>
      <c r="F27" t="s">
        <v>72</v>
      </c>
      <c r="G27">
        <v>0</v>
      </c>
      <c r="H27">
        <v>2E+20</v>
      </c>
      <c r="I27">
        <v>0</v>
      </c>
      <c r="J27">
        <v>0</v>
      </c>
      <c r="K27">
        <v>100</v>
      </c>
      <c r="L27" t="str">
        <f>DiscreteStatsTable[[#This Row],[ProjectName]]&amp;DiscreteStatsTable[[#This Row],[Name]]&amp;DiscreteStatsTable[[#This Row],[Type]]&amp;DiscreteStatsTable[[#This Row],[Source]]</f>
        <v>Unnamed ProjectSales CallTransfer TimeEntity</v>
      </c>
      <c r="M27">
        <f t="array" ref="M27">MAX(IF((ProjectInfoTable[ProjectName]=DiscreteStatsTable[[#This Row],[ProjectName]]),(ProjectInfoTable[ProjectName]=DiscreteStatsTable[[#This Row],[ProjectName]])*ProjectInfoTable[NumberOfReplications]))</f>
        <v>1</v>
      </c>
      <c r="N27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7">
        <f t="array" ref="R27">MIN(IF((DiscreteStatsTable[GroupByKey]=DiscreteStatsTable[[#This Row],[GroupByKey]]),(DiscreteStatsTable[GroupByKey]=DiscreteStatsTable[[#This Row],[GroupByKey]])*DiscreteStatsTable[Average]))</f>
        <v>0</v>
      </c>
      <c r="S27">
        <f t="array" ref="S27">MAX(IF((DiscreteStatsTable[GroupByKey]=DiscreteStatsTable[[#This Row],[GroupByKey]]),(DiscreteStatsTable[GroupByKey]=DiscreteStatsTable[[#This Row],[GroupByKey]])*DiscreteStatsTable[Average]))</f>
        <v>0</v>
      </c>
      <c r="T27">
        <f t="array" ref="T27">MIN(IF((DiscreteStatsTable[GroupByKey]=DiscreteStatsTable[[#This Row],[GroupByKey]]),(DiscreteStatsTable[GroupByKey]=DiscreteStatsTable[[#This Row],[GroupByKey]])*DiscreteStatsTable[Minimum]))</f>
        <v>0</v>
      </c>
      <c r="U27">
        <f t="array" ref="U27">MAX(IF((DiscreteStatsTable[GroupByKey]=DiscreteStatsTable[[#This Row],[GroupByKey]]),(DiscreteStatsTable[GroupByKey]=DiscreteStatsTable[[#This Row],[GroupByKey]])*DiscreteStatsTable[Maximum]))</f>
        <v>0</v>
      </c>
      <c r="V27">
        <f t="array" ref="V27">IFERROR(AVERAGE(IF((DiscreteStatsTable[GroupByKey]=DiscreteStatsTable[[#This Row],[GroupByKey]]),(DiscreteStatsTable[GroupByKey]=DiscreteStatsTable[[#This Row],[GroupByKey]])*DiscreteStatsTable[NumberObservations])),0)</f>
        <v>100</v>
      </c>
      <c r="W27">
        <f>IF((DiscreteStatsTable[[#This Row],[RepsRequested]]&gt;1),DiscreteStatsTable[[#This Row],[HalfWidth]],DiscreteStatsTable[[#This Row],[BatchMeansHalfWidth]])</f>
        <v>2E+20</v>
      </c>
      <c r="X27">
        <f t="array" ref="X27">COUNT(IF((DiscreteStatsTable[GroupByKey]=DiscreteStatsTable[[#This Row],[GroupByKey]]),(DiscreteStatsTable[GroupByKey]=DiscreteStatsTable[[#This Row],[GroupByKey]])*DiscreteStatsTable[Replication]))</f>
        <v>1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67</v>
      </c>
      <c r="B28" t="s">
        <v>69</v>
      </c>
      <c r="C28">
        <v>1</v>
      </c>
      <c r="D28" t="s">
        <v>86</v>
      </c>
      <c r="E28" t="s">
        <v>76</v>
      </c>
      <c r="F28" t="s">
        <v>72</v>
      </c>
      <c r="G28">
        <v>20.631545987336899</v>
      </c>
      <c r="H28">
        <v>2E+20</v>
      </c>
      <c r="I28">
        <v>6.0402717898131799</v>
      </c>
      <c r="J28">
        <v>42.375032280898601</v>
      </c>
      <c r="K28">
        <v>100</v>
      </c>
      <c r="L28" t="str">
        <f>DiscreteStatsTable[[#This Row],[ProjectName]]&amp;DiscreteStatsTable[[#This Row],[Name]]&amp;DiscreteStatsTable[[#This Row],[Type]]&amp;DiscreteStatsTable[[#This Row],[Source]]</f>
        <v>Unnamed ProjectSales CallVA TimeEntity</v>
      </c>
      <c r="M28">
        <f t="array" ref="M28">MAX(IF((ProjectInfoTable[ProjectName]=DiscreteStatsTable[[#This Row],[ProjectName]]),(ProjectInfoTable[ProjectName]=DiscreteStatsTable[[#This Row],[ProjectName]])*ProjectInfoTable[NumberOfReplications]))</f>
        <v>1</v>
      </c>
      <c r="N28">
        <f t="array" ref="N28">IFERROR(AVERAGE(IF((DiscreteStatsTable[GroupByKey]=DiscreteStatsTable[[#This Row],[GroupByKey]]),(DiscreteStatsTable[GroupByKey]=DiscreteStatsTable[[#This Row],[GroupByKey]])*DiscreteStatsTable[Average])),0)</f>
        <v>20.631545987336899</v>
      </c>
      <c r="O28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8">
        <f t="array" ref="R28">MIN(IF((DiscreteStatsTable[GroupByKey]=DiscreteStatsTable[[#This Row],[GroupByKey]]),(DiscreteStatsTable[GroupByKey]=DiscreteStatsTable[[#This Row],[GroupByKey]])*DiscreteStatsTable[Average]))</f>
        <v>20.631545987336899</v>
      </c>
      <c r="S28">
        <f t="array" ref="S28">MAX(IF((DiscreteStatsTable[GroupByKey]=DiscreteStatsTable[[#This Row],[GroupByKey]]),(DiscreteStatsTable[GroupByKey]=DiscreteStatsTable[[#This Row],[GroupByKey]])*DiscreteStatsTable[Average]))</f>
        <v>20.631545987336899</v>
      </c>
      <c r="T28">
        <f t="array" ref="T28">MIN(IF((DiscreteStatsTable[GroupByKey]=DiscreteStatsTable[[#This Row],[GroupByKey]]),(DiscreteStatsTable[GroupByKey]=DiscreteStatsTable[[#This Row],[GroupByKey]])*DiscreteStatsTable[Minimum]))</f>
        <v>6.0402717898131799</v>
      </c>
      <c r="U28">
        <f t="array" ref="U28">MAX(IF((DiscreteStatsTable[GroupByKey]=DiscreteStatsTable[[#This Row],[GroupByKey]]),(DiscreteStatsTable[GroupByKey]=DiscreteStatsTable[[#This Row],[GroupByKey]])*DiscreteStatsTable[Maximum]))</f>
        <v>42.375032280898601</v>
      </c>
      <c r="V28">
        <f t="array" ref="V28">IFERROR(AVERAGE(IF((DiscreteStatsTable[GroupByKey]=DiscreteStatsTable[[#This Row],[GroupByKey]]),(DiscreteStatsTable[GroupByKey]=DiscreteStatsTable[[#This Row],[GroupByKey]])*DiscreteStatsTable[NumberObservations])),0)</f>
        <v>100</v>
      </c>
      <c r="W28">
        <f>IF((DiscreteStatsTable[[#This Row],[RepsRequested]]&gt;1),DiscreteStatsTable[[#This Row],[HalfWidth]],DiscreteStatsTable[[#This Row],[BatchMeansHalfWidth]])</f>
        <v>2E+20</v>
      </c>
      <c r="X28">
        <f t="array" ref="X28">COUNT(IF((DiscreteStatsTable[GroupByKey]=DiscreteStatsTable[[#This Row],[GroupByKey]]),(DiscreteStatsTable[GroupByKey]=DiscreteStatsTable[[#This Row],[GroupByKey]])*DiscreteStatsTable[Replication]))</f>
        <v>1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67</v>
      </c>
      <c r="B29" t="s">
        <v>69</v>
      </c>
      <c r="C29">
        <v>1</v>
      </c>
      <c r="D29" t="s">
        <v>86</v>
      </c>
      <c r="E29" t="s">
        <v>77</v>
      </c>
      <c r="F29" t="s">
        <v>72</v>
      </c>
      <c r="G29">
        <v>11.105217606384601</v>
      </c>
      <c r="H29">
        <v>2E+20</v>
      </c>
      <c r="I29">
        <v>0</v>
      </c>
      <c r="J29">
        <v>45.354629350394099</v>
      </c>
      <c r="K29">
        <v>100</v>
      </c>
      <c r="L29" t="str">
        <f>DiscreteStatsTable[[#This Row],[ProjectName]]&amp;DiscreteStatsTable[[#This Row],[Name]]&amp;DiscreteStatsTable[[#This Row],[Type]]&amp;DiscreteStatsTable[[#This Row],[Source]]</f>
        <v>Unnamed ProjectSales CallWait TimeEntity</v>
      </c>
      <c r="M29">
        <f t="array" ref="M29">MAX(IF((ProjectInfoTable[ProjectName]=DiscreteStatsTable[[#This Row],[ProjectName]]),(ProjectInfoTable[ProjectName]=DiscreteStatsTable[[#This Row],[ProjectName]])*ProjectInfoTable[NumberOfReplications]))</f>
        <v>1</v>
      </c>
      <c r="N29">
        <f t="array" ref="N29">IFERROR(AVERAGE(IF((DiscreteStatsTable[GroupByKey]=DiscreteStatsTable[[#This Row],[GroupByKey]]),(DiscreteStatsTable[GroupByKey]=DiscreteStatsTable[[#This Row],[GroupByKey]])*DiscreteStatsTable[Average])),0)</f>
        <v>11.105217606384601</v>
      </c>
      <c r="O29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9">
        <f t="array" ref="R29">MIN(IF((DiscreteStatsTable[GroupByKey]=DiscreteStatsTable[[#This Row],[GroupByKey]]),(DiscreteStatsTable[GroupByKey]=DiscreteStatsTable[[#This Row],[GroupByKey]])*DiscreteStatsTable[Average]))</f>
        <v>11.105217606384601</v>
      </c>
      <c r="S29">
        <f t="array" ref="S29">MAX(IF((DiscreteStatsTable[GroupByKey]=DiscreteStatsTable[[#This Row],[GroupByKey]]),(DiscreteStatsTable[GroupByKey]=DiscreteStatsTable[[#This Row],[GroupByKey]])*DiscreteStatsTable[Average]))</f>
        <v>11.105217606384601</v>
      </c>
      <c r="T29">
        <f t="array" ref="T29">MIN(IF((DiscreteStatsTable[GroupByKey]=DiscreteStatsTable[[#This Row],[GroupByKey]]),(DiscreteStatsTable[GroupByKey]=DiscreteStatsTable[[#This Row],[GroupByKey]])*DiscreteStatsTable[Minimum]))</f>
        <v>0</v>
      </c>
      <c r="U29">
        <f t="array" ref="U29">MAX(IF((DiscreteStatsTable[GroupByKey]=DiscreteStatsTable[[#This Row],[GroupByKey]]),(DiscreteStatsTable[GroupByKey]=DiscreteStatsTable[[#This Row],[GroupByKey]])*DiscreteStatsTable[Maximum]))</f>
        <v>45.354629350394099</v>
      </c>
      <c r="V29">
        <f t="array" ref="V29">IFERROR(AVERAGE(IF((DiscreteStatsTable[GroupByKey]=DiscreteStatsTable[[#This Row],[GroupByKey]]),(DiscreteStatsTable[GroupByKey]=DiscreteStatsTable[[#This Row],[GroupByKey]])*DiscreteStatsTable[NumberObservations])),0)</f>
        <v>100</v>
      </c>
      <c r="W29">
        <f>IF((DiscreteStatsTable[[#This Row],[RepsRequested]]&gt;1),DiscreteStatsTable[[#This Row],[HalfWidth]],DiscreteStatsTable[[#This Row],[BatchMeansHalfWidth]])</f>
        <v>2E+20</v>
      </c>
      <c r="X29">
        <f t="array" ref="X29">COUNT(IF((DiscreteStatsTable[GroupByKey]=DiscreteStatsTable[[#This Row],[GroupByKey]]),(DiscreteStatsTable[GroupByKey]=DiscreteStatsTable[[#This Row],[GroupByKey]])*DiscreteStatsTable[Replication]))</f>
        <v>1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67</v>
      </c>
      <c r="B30" t="s">
        <v>69</v>
      </c>
      <c r="C30">
        <v>1</v>
      </c>
      <c r="D30" t="s">
        <v>87</v>
      </c>
      <c r="E30" t="s">
        <v>81</v>
      </c>
      <c r="F30" t="s">
        <v>82</v>
      </c>
      <c r="G30">
        <v>0</v>
      </c>
      <c r="H30">
        <v>0</v>
      </c>
      <c r="I30">
        <v>0</v>
      </c>
      <c r="J30">
        <v>0</v>
      </c>
      <c r="K30">
        <v>643</v>
      </c>
      <c r="L30" t="str">
        <f>DiscreteStatsTable[[#This Row],[ProjectName]]&amp;DiscreteStatsTable[[#This Row],[Name]]&amp;DiscreteStatsTable[[#This Row],[Type]]&amp;DiscreteStatsTable[[#This Row],[Source]]</f>
        <v>Unnamed ProjectSeize Trunk Line.QueueWaiting TimeQueue</v>
      </c>
      <c r="M30">
        <f t="array" ref="M30">MAX(IF((ProjectInfoTable[ProjectName]=DiscreteStatsTable[[#This Row],[ProjectName]]),(ProjectInfoTable[ProjectName]=DiscreteStatsTable[[#This Row],[ProjectName]])*ProjectInfoTable[NumberOfReplications]))</f>
        <v>1</v>
      </c>
      <c r="N30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0">
        <f t="array" ref="R30">MIN(IF((DiscreteStatsTable[GroupByKey]=DiscreteStatsTable[[#This Row],[GroupByKey]]),(DiscreteStatsTable[GroupByKey]=DiscreteStatsTable[[#This Row],[GroupByKey]])*DiscreteStatsTable[Average]))</f>
        <v>0</v>
      </c>
      <c r="S30">
        <f t="array" ref="S30">MAX(IF((DiscreteStatsTable[GroupByKey]=DiscreteStatsTable[[#This Row],[GroupByKey]]),(DiscreteStatsTable[GroupByKey]=DiscreteStatsTable[[#This Row],[GroupByKey]])*DiscreteStatsTable[Average]))</f>
        <v>0</v>
      </c>
      <c r="T30">
        <f t="array" ref="T30">MIN(IF((DiscreteStatsTable[GroupByKey]=DiscreteStatsTable[[#This Row],[GroupByKey]]),(DiscreteStatsTable[GroupByKey]=DiscreteStatsTable[[#This Row],[GroupByKey]])*DiscreteStatsTable[Minimum]))</f>
        <v>0</v>
      </c>
      <c r="U30">
        <f t="array" ref="U30">MAX(IF((DiscreteStatsTable[GroupByKey]=DiscreteStatsTable[[#This Row],[GroupByKey]]),(DiscreteStatsTable[GroupByKey]=DiscreteStatsTable[[#This Row],[GroupByKey]])*DiscreteStatsTable[Maximum]))</f>
        <v>0</v>
      </c>
      <c r="V30">
        <f t="array" ref="V30">IFERROR(AVERAGE(IF((DiscreteStatsTable[GroupByKey]=DiscreteStatsTable[[#This Row],[GroupByKey]]),(DiscreteStatsTable[GroupByKey]=DiscreteStatsTable[[#This Row],[GroupByKey]])*DiscreteStatsTable[NumberObservations])),0)</f>
        <v>643</v>
      </c>
      <c r="W30">
        <f>IF((DiscreteStatsTable[[#This Row],[RepsRequested]]&gt;1),DiscreteStatsTable[[#This Row],[HalfWidth]],DiscreteStatsTable[[#This Row],[BatchMeansHalfWidth]])</f>
        <v>0</v>
      </c>
      <c r="X30">
        <f t="array" ref="X30">COUNT(IF((DiscreteStatsTable[GroupByKey]=DiscreteStatsTable[[#This Row],[GroupByKey]]),(DiscreteStatsTable[GroupByKey]=DiscreteStatsTable[[#This Row],[GroupByKey]])*DiscreteStatsTable[Replication]))</f>
        <v>1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67</v>
      </c>
      <c r="B31" t="s">
        <v>69</v>
      </c>
      <c r="C31">
        <v>1</v>
      </c>
      <c r="D31" t="s">
        <v>88</v>
      </c>
      <c r="E31" t="s">
        <v>71</v>
      </c>
      <c r="F31" t="s">
        <v>72</v>
      </c>
      <c r="G31">
        <v>0</v>
      </c>
      <c r="H31">
        <v>0</v>
      </c>
      <c r="I31">
        <v>0</v>
      </c>
      <c r="J31">
        <v>0</v>
      </c>
      <c r="K31">
        <v>492</v>
      </c>
      <c r="L31" t="str">
        <f>DiscreteStatsTable[[#This Row],[ProjectName]]&amp;DiscreteStatsTable[[#This Row],[Name]]&amp;DiscreteStatsTable[[#This Row],[Type]]&amp;DiscreteStatsTable[[#This Row],[Source]]</f>
        <v>Unnamed ProjectTech CallNVA TimeEntity</v>
      </c>
      <c r="M31">
        <f t="array" ref="M31">MAX(IF((ProjectInfoTable[ProjectName]=DiscreteStatsTable[[#This Row],[ProjectName]]),(ProjectInfoTable[ProjectName]=DiscreteStatsTable[[#This Row],[ProjectName]])*ProjectInfoTable[NumberOfReplications]))</f>
        <v>1</v>
      </c>
      <c r="N3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1">
        <f t="array" ref="R31">MIN(IF((DiscreteStatsTable[GroupByKey]=DiscreteStatsTable[[#This Row],[GroupByKey]]),(DiscreteStatsTable[GroupByKey]=DiscreteStatsTable[[#This Row],[GroupByKey]])*DiscreteStatsTable[Average]))</f>
        <v>0</v>
      </c>
      <c r="S31">
        <f t="array" ref="S31">MAX(IF((DiscreteStatsTable[GroupByKey]=DiscreteStatsTable[[#This Row],[GroupByKey]]),(DiscreteStatsTable[GroupByKey]=DiscreteStatsTable[[#This Row],[GroupByKey]])*DiscreteStatsTable[Average]))</f>
        <v>0</v>
      </c>
      <c r="T31">
        <f t="array" ref="T31">MIN(IF((DiscreteStatsTable[GroupByKey]=DiscreteStatsTable[[#This Row],[GroupByKey]]),(DiscreteStatsTable[GroupByKey]=DiscreteStatsTable[[#This Row],[GroupByKey]])*DiscreteStatsTable[Minimum]))</f>
        <v>0</v>
      </c>
      <c r="U31">
        <f t="array" ref="U31">MAX(IF((DiscreteStatsTable[GroupByKey]=DiscreteStatsTable[[#This Row],[GroupByKey]]),(DiscreteStatsTable[GroupByKey]=DiscreteStatsTable[[#This Row],[GroupByKey]])*DiscreteStatsTable[Maximum]))</f>
        <v>0</v>
      </c>
      <c r="V31">
        <f t="array" ref="V31">IFERROR(AVERAGE(IF((DiscreteStatsTable[GroupByKey]=DiscreteStatsTable[[#This Row],[GroupByKey]]),(DiscreteStatsTable[GroupByKey]=DiscreteStatsTable[[#This Row],[GroupByKey]])*DiscreteStatsTable[NumberObservations])),0)</f>
        <v>492</v>
      </c>
      <c r="W31">
        <f>IF((DiscreteStatsTable[[#This Row],[RepsRequested]]&gt;1),DiscreteStatsTable[[#This Row],[HalfWidth]],DiscreteStatsTable[[#This Row],[BatchMeansHalfWidth]])</f>
        <v>0</v>
      </c>
      <c r="X31">
        <f t="array" ref="X31">COUNT(IF((DiscreteStatsTable[GroupByKey]=DiscreteStatsTable[[#This Row],[GroupByKey]]),(DiscreteStatsTable[GroupByKey]=DiscreteStatsTable[[#This Row],[GroupByKey]])*DiscreteStatsTable[Replication]))</f>
        <v>1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67</v>
      </c>
      <c r="B32" t="s">
        <v>69</v>
      </c>
      <c r="C32">
        <v>1</v>
      </c>
      <c r="D32" t="s">
        <v>88</v>
      </c>
      <c r="E32" t="s">
        <v>73</v>
      </c>
      <c r="F32" t="s">
        <v>72</v>
      </c>
      <c r="G32">
        <v>0.65104202541697398</v>
      </c>
      <c r="H32">
        <v>1.6095393029091101E-2</v>
      </c>
      <c r="I32">
        <v>0.20414502573351001</v>
      </c>
      <c r="J32">
        <v>1.0565806673898801</v>
      </c>
      <c r="K32">
        <v>492</v>
      </c>
      <c r="L32" t="str">
        <f>DiscreteStatsTable[[#This Row],[ProjectName]]&amp;DiscreteStatsTable[[#This Row],[Name]]&amp;DiscreteStatsTable[[#This Row],[Type]]&amp;DiscreteStatsTable[[#This Row],[Source]]</f>
        <v>Unnamed ProjectTech CallOther TimeEntity</v>
      </c>
      <c r="M32">
        <f t="array" ref="M32">MAX(IF((ProjectInfoTable[ProjectName]=DiscreteStatsTable[[#This Row],[ProjectName]]),(ProjectInfoTable[ProjectName]=DiscreteStatsTable[[#This Row],[ProjectName]])*ProjectInfoTable[NumberOfReplications]))</f>
        <v>1</v>
      </c>
      <c r="N32">
        <f t="array" ref="N32">IFERROR(AVERAGE(IF((DiscreteStatsTable[GroupByKey]=DiscreteStatsTable[[#This Row],[GroupByKey]]),(DiscreteStatsTable[GroupByKey]=DiscreteStatsTable[[#This Row],[GroupByKey]])*DiscreteStatsTable[Average])),0)</f>
        <v>0.65104202541697398</v>
      </c>
      <c r="O32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2">
        <f t="array" ref="R32">MIN(IF((DiscreteStatsTable[GroupByKey]=DiscreteStatsTable[[#This Row],[GroupByKey]]),(DiscreteStatsTable[GroupByKey]=DiscreteStatsTable[[#This Row],[GroupByKey]])*DiscreteStatsTable[Average]))</f>
        <v>0.65104202541697398</v>
      </c>
      <c r="S32">
        <f t="array" ref="S32">MAX(IF((DiscreteStatsTable[GroupByKey]=DiscreteStatsTable[[#This Row],[GroupByKey]]),(DiscreteStatsTable[GroupByKey]=DiscreteStatsTable[[#This Row],[GroupByKey]])*DiscreteStatsTable[Average]))</f>
        <v>0.65104202541697398</v>
      </c>
      <c r="T32">
        <f t="array" ref="T32">MIN(IF((DiscreteStatsTable[GroupByKey]=DiscreteStatsTable[[#This Row],[GroupByKey]]),(DiscreteStatsTable[GroupByKey]=DiscreteStatsTable[[#This Row],[GroupByKey]])*DiscreteStatsTable[Minimum]))</f>
        <v>0.20414502573351001</v>
      </c>
      <c r="U32">
        <f t="array" ref="U32">MAX(IF((DiscreteStatsTable[GroupByKey]=DiscreteStatsTable[[#This Row],[GroupByKey]]),(DiscreteStatsTable[GroupByKey]=DiscreteStatsTable[[#This Row],[GroupByKey]])*DiscreteStatsTable[Maximum]))</f>
        <v>1.0565806673898801</v>
      </c>
      <c r="V32">
        <f t="array" ref="V32">IFERROR(AVERAGE(IF((DiscreteStatsTable[GroupByKey]=DiscreteStatsTable[[#This Row],[GroupByKey]]),(DiscreteStatsTable[GroupByKey]=DiscreteStatsTable[[#This Row],[GroupByKey]])*DiscreteStatsTable[NumberObservations])),0)</f>
        <v>492</v>
      </c>
      <c r="W32">
        <f>IF((DiscreteStatsTable[[#This Row],[RepsRequested]]&gt;1),DiscreteStatsTable[[#This Row],[HalfWidth]],DiscreteStatsTable[[#This Row],[BatchMeansHalfWidth]])</f>
        <v>1.6095393029091101E-2</v>
      </c>
      <c r="X32">
        <f t="array" ref="X32">COUNT(IF((DiscreteStatsTable[GroupByKey]=DiscreteStatsTable[[#This Row],[GroupByKey]]),(DiscreteStatsTable[GroupByKey]=DiscreteStatsTable[[#This Row],[GroupByKey]])*DiscreteStatsTable[Replication]))</f>
        <v>1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67</v>
      </c>
      <c r="B33" t="s">
        <v>69</v>
      </c>
      <c r="C33">
        <v>1</v>
      </c>
      <c r="D33" t="s">
        <v>88</v>
      </c>
      <c r="E33" t="s">
        <v>74</v>
      </c>
      <c r="F33" t="s">
        <v>72</v>
      </c>
      <c r="G33">
        <v>18.7493357025674</v>
      </c>
      <c r="H33">
        <v>3E+20</v>
      </c>
      <c r="I33">
        <v>3.9936186977993602</v>
      </c>
      <c r="J33">
        <v>71.410240256673305</v>
      </c>
      <c r="K33">
        <v>492</v>
      </c>
      <c r="L33" t="str">
        <f>DiscreteStatsTable[[#This Row],[ProjectName]]&amp;DiscreteStatsTable[[#This Row],[Name]]&amp;DiscreteStatsTable[[#This Row],[Type]]&amp;DiscreteStatsTable[[#This Row],[Source]]</f>
        <v>Unnamed ProjectTech CallTotal TimeEntity</v>
      </c>
      <c r="M33">
        <f t="array" ref="M33">MAX(IF((ProjectInfoTable[ProjectName]=DiscreteStatsTable[[#This Row],[ProjectName]]),(ProjectInfoTable[ProjectName]=DiscreteStatsTable[[#This Row],[ProjectName]])*ProjectInfoTable[NumberOfReplications]))</f>
        <v>1</v>
      </c>
      <c r="N33">
        <f t="array" ref="N33">IFERROR(AVERAGE(IF((DiscreteStatsTable[GroupByKey]=DiscreteStatsTable[[#This Row],[GroupByKey]]),(DiscreteStatsTable[GroupByKey]=DiscreteStatsTable[[#This Row],[GroupByKey]])*DiscreteStatsTable[Average])),0)</f>
        <v>18.7493357025674</v>
      </c>
      <c r="O33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3">
        <f t="array" ref="R33">MIN(IF((DiscreteStatsTable[GroupByKey]=DiscreteStatsTable[[#This Row],[GroupByKey]]),(DiscreteStatsTable[GroupByKey]=DiscreteStatsTable[[#This Row],[GroupByKey]])*DiscreteStatsTable[Average]))</f>
        <v>18.7493357025674</v>
      </c>
      <c r="S33">
        <f t="array" ref="S33">MAX(IF((DiscreteStatsTable[GroupByKey]=DiscreteStatsTable[[#This Row],[GroupByKey]]),(DiscreteStatsTable[GroupByKey]=DiscreteStatsTable[[#This Row],[GroupByKey]])*DiscreteStatsTable[Average]))</f>
        <v>18.7493357025674</v>
      </c>
      <c r="T33">
        <f t="array" ref="T33">MIN(IF((DiscreteStatsTable[GroupByKey]=DiscreteStatsTable[[#This Row],[GroupByKey]]),(DiscreteStatsTable[GroupByKey]=DiscreteStatsTable[[#This Row],[GroupByKey]])*DiscreteStatsTable[Minimum]))</f>
        <v>3.9936186977993602</v>
      </c>
      <c r="U33">
        <f t="array" ref="U33">MAX(IF((DiscreteStatsTable[GroupByKey]=DiscreteStatsTable[[#This Row],[GroupByKey]]),(DiscreteStatsTable[GroupByKey]=DiscreteStatsTable[[#This Row],[GroupByKey]])*DiscreteStatsTable[Maximum]))</f>
        <v>71.410240256673305</v>
      </c>
      <c r="V33">
        <f t="array" ref="V33">IFERROR(AVERAGE(IF((DiscreteStatsTable[GroupByKey]=DiscreteStatsTable[[#This Row],[GroupByKey]]),(DiscreteStatsTable[GroupByKey]=DiscreteStatsTable[[#This Row],[GroupByKey]])*DiscreteStatsTable[NumberObservations])),0)</f>
        <v>492</v>
      </c>
      <c r="W33">
        <f>IF((DiscreteStatsTable[[#This Row],[RepsRequested]]&gt;1),DiscreteStatsTable[[#This Row],[HalfWidth]],DiscreteStatsTable[[#This Row],[BatchMeansHalfWidth]])</f>
        <v>3E+20</v>
      </c>
      <c r="X33">
        <f t="array" ref="X33">COUNT(IF((DiscreteStatsTable[GroupByKey]=DiscreteStatsTable[[#This Row],[GroupByKey]]),(DiscreteStatsTable[GroupByKey]=DiscreteStatsTable[[#This Row],[GroupByKey]])*DiscreteStatsTable[Replication]))</f>
        <v>1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67</v>
      </c>
      <c r="B34" t="s">
        <v>69</v>
      </c>
      <c r="C34">
        <v>1</v>
      </c>
      <c r="D34" t="s">
        <v>88</v>
      </c>
      <c r="E34" t="s">
        <v>75</v>
      </c>
      <c r="F34" t="s">
        <v>72</v>
      </c>
      <c r="G34">
        <v>0</v>
      </c>
      <c r="H34">
        <v>0</v>
      </c>
      <c r="I34">
        <v>0</v>
      </c>
      <c r="J34">
        <v>0</v>
      </c>
      <c r="K34">
        <v>492</v>
      </c>
      <c r="L34" t="str">
        <f>DiscreteStatsTable[[#This Row],[ProjectName]]&amp;DiscreteStatsTable[[#This Row],[Name]]&amp;DiscreteStatsTable[[#This Row],[Type]]&amp;DiscreteStatsTable[[#This Row],[Source]]</f>
        <v>Unnamed ProjectTech CallTransfer TimeEntity</v>
      </c>
      <c r="M34">
        <f t="array" ref="M34">MAX(IF((ProjectInfoTable[ProjectName]=DiscreteStatsTable[[#This Row],[ProjectName]]),(ProjectInfoTable[ProjectName]=DiscreteStatsTable[[#This Row],[ProjectName]])*ProjectInfoTable[NumberOfReplications]))</f>
        <v>1</v>
      </c>
      <c r="N34">
        <f t="array" ref="N34">IFERROR(AVERAGE(IF((DiscreteStatsTable[GroupByKey]=DiscreteStatsTable[[#This Row],[GroupByKey]]),(DiscreteStatsTable[GroupByKey]=DiscreteStatsTable[[#This Row],[GroupByKey]])*DiscreteStatsTable[Average])),0)</f>
        <v>0</v>
      </c>
      <c r="O34">
        <f t="array" ref="O34">IFERROR(_xlfn.STDEV.S(IF((DiscreteStatsTable[GroupByKey]=DiscreteStatsTable[[#This Row],[GroupByKey]]),(DiscreteStatsTable[GroupByKey]=DiscreteStatsTable[[#This Row],[GroupByKey]])*DiscreteStatsTable[Average])),0)</f>
        <v>0</v>
      </c>
      <c r="P34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4">
        <f t="array" ref="R34">MIN(IF((DiscreteStatsTable[GroupByKey]=DiscreteStatsTable[[#This Row],[GroupByKey]]),(DiscreteStatsTable[GroupByKey]=DiscreteStatsTable[[#This Row],[GroupByKey]])*DiscreteStatsTable[Average]))</f>
        <v>0</v>
      </c>
      <c r="S34">
        <f t="array" ref="S34">MAX(IF((DiscreteStatsTable[GroupByKey]=DiscreteStatsTable[[#This Row],[GroupByKey]]),(DiscreteStatsTable[GroupByKey]=DiscreteStatsTable[[#This Row],[GroupByKey]])*DiscreteStatsTable[Average]))</f>
        <v>0</v>
      </c>
      <c r="T34">
        <f t="array" ref="T34">MIN(IF((DiscreteStatsTable[GroupByKey]=DiscreteStatsTable[[#This Row],[GroupByKey]]),(DiscreteStatsTable[GroupByKey]=DiscreteStatsTable[[#This Row],[GroupByKey]])*DiscreteStatsTable[Minimum]))</f>
        <v>0</v>
      </c>
      <c r="U34">
        <f t="array" ref="U34">MAX(IF((DiscreteStatsTable[GroupByKey]=DiscreteStatsTable[[#This Row],[GroupByKey]]),(DiscreteStatsTable[GroupByKey]=DiscreteStatsTable[[#This Row],[GroupByKey]])*DiscreteStatsTable[Maximum]))</f>
        <v>0</v>
      </c>
      <c r="V34">
        <f t="array" ref="V34">IFERROR(AVERAGE(IF((DiscreteStatsTable[GroupByKey]=DiscreteStatsTable[[#This Row],[GroupByKey]]),(DiscreteStatsTable[GroupByKey]=DiscreteStatsTable[[#This Row],[GroupByKey]])*DiscreteStatsTable[NumberObservations])),0)</f>
        <v>492</v>
      </c>
      <c r="W34">
        <f>IF((DiscreteStatsTable[[#This Row],[RepsRequested]]&gt;1),DiscreteStatsTable[[#This Row],[HalfWidth]],DiscreteStatsTable[[#This Row],[BatchMeansHalfWidth]])</f>
        <v>0</v>
      </c>
      <c r="X34">
        <f t="array" ref="X34">COUNT(IF((DiscreteStatsTable[GroupByKey]=DiscreteStatsTable[[#This Row],[GroupByKey]]),(DiscreteStatsTable[GroupByKey]=DiscreteStatsTable[[#This Row],[GroupByKey]])*DiscreteStatsTable[Replication]))</f>
        <v>1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67</v>
      </c>
      <c r="B35" t="s">
        <v>69</v>
      </c>
      <c r="C35">
        <v>1</v>
      </c>
      <c r="D35" t="s">
        <v>88</v>
      </c>
      <c r="E35" t="s">
        <v>76</v>
      </c>
      <c r="F35" t="s">
        <v>72</v>
      </c>
      <c r="G35">
        <v>8.8716582363703598</v>
      </c>
      <c r="H35">
        <v>0.298461574776681</v>
      </c>
      <c r="I35">
        <v>3.3753799108626499</v>
      </c>
      <c r="J35">
        <v>17.360695362498401</v>
      </c>
      <c r="K35">
        <v>492</v>
      </c>
      <c r="L35" t="str">
        <f>DiscreteStatsTable[[#This Row],[ProjectName]]&amp;DiscreteStatsTable[[#This Row],[Name]]&amp;DiscreteStatsTable[[#This Row],[Type]]&amp;DiscreteStatsTable[[#This Row],[Source]]</f>
        <v>Unnamed ProjectTech CallVA TimeEntity</v>
      </c>
      <c r="M35">
        <f t="array" ref="M35">MAX(IF((ProjectInfoTable[ProjectName]=DiscreteStatsTable[[#This Row],[ProjectName]]),(ProjectInfoTable[ProjectName]=DiscreteStatsTable[[#This Row],[ProjectName]])*ProjectInfoTable[NumberOfReplications]))</f>
        <v>1</v>
      </c>
      <c r="N35">
        <f t="array" ref="N35">IFERROR(AVERAGE(IF((DiscreteStatsTable[GroupByKey]=DiscreteStatsTable[[#This Row],[GroupByKey]]),(DiscreteStatsTable[GroupByKey]=DiscreteStatsTable[[#This Row],[GroupByKey]])*DiscreteStatsTable[Average])),0)</f>
        <v>8.8716582363703598</v>
      </c>
      <c r="O35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5">
        <f t="array" ref="R35">MIN(IF((DiscreteStatsTable[GroupByKey]=DiscreteStatsTable[[#This Row],[GroupByKey]]),(DiscreteStatsTable[GroupByKey]=DiscreteStatsTable[[#This Row],[GroupByKey]])*DiscreteStatsTable[Average]))</f>
        <v>8.8716582363703598</v>
      </c>
      <c r="S35">
        <f t="array" ref="S35">MAX(IF((DiscreteStatsTable[GroupByKey]=DiscreteStatsTable[[#This Row],[GroupByKey]]),(DiscreteStatsTable[GroupByKey]=DiscreteStatsTable[[#This Row],[GroupByKey]])*DiscreteStatsTable[Average]))</f>
        <v>8.8716582363703598</v>
      </c>
      <c r="T35">
        <f t="array" ref="T35">MIN(IF((DiscreteStatsTable[GroupByKey]=DiscreteStatsTable[[#This Row],[GroupByKey]]),(DiscreteStatsTable[GroupByKey]=DiscreteStatsTable[[#This Row],[GroupByKey]])*DiscreteStatsTable[Minimum]))</f>
        <v>3.3753799108626499</v>
      </c>
      <c r="U35">
        <f t="array" ref="U35">MAX(IF((DiscreteStatsTable[GroupByKey]=DiscreteStatsTable[[#This Row],[GroupByKey]]),(DiscreteStatsTable[GroupByKey]=DiscreteStatsTable[[#This Row],[GroupByKey]])*DiscreteStatsTable[Maximum]))</f>
        <v>17.360695362498401</v>
      </c>
      <c r="V35">
        <f t="array" ref="V35">IFERROR(AVERAGE(IF((DiscreteStatsTable[GroupByKey]=DiscreteStatsTable[[#This Row],[GroupByKey]]),(DiscreteStatsTable[GroupByKey]=DiscreteStatsTable[[#This Row],[GroupByKey]])*DiscreteStatsTable[NumberObservations])),0)</f>
        <v>492</v>
      </c>
      <c r="W35">
        <f>IF((DiscreteStatsTable[[#This Row],[RepsRequested]]&gt;1),DiscreteStatsTable[[#This Row],[HalfWidth]],DiscreteStatsTable[[#This Row],[BatchMeansHalfWidth]])</f>
        <v>0.298461574776681</v>
      </c>
      <c r="X35">
        <f t="array" ref="X35">COUNT(IF((DiscreteStatsTable[GroupByKey]=DiscreteStatsTable[[#This Row],[GroupByKey]]),(DiscreteStatsTable[GroupByKey]=DiscreteStatsTable[[#This Row],[GroupByKey]])*DiscreteStatsTable[Replication]))</f>
        <v>1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67</v>
      </c>
      <c r="B36" t="s">
        <v>69</v>
      </c>
      <c r="C36">
        <v>1</v>
      </c>
      <c r="D36" t="s">
        <v>88</v>
      </c>
      <c r="E36" t="s">
        <v>77</v>
      </c>
      <c r="F36" t="s">
        <v>72</v>
      </c>
      <c r="G36">
        <v>9.2266354407801092</v>
      </c>
      <c r="H36">
        <v>3E+20</v>
      </c>
      <c r="I36">
        <v>0</v>
      </c>
      <c r="J36">
        <v>55.448830613305503</v>
      </c>
      <c r="K36">
        <v>492</v>
      </c>
      <c r="L36" t="str">
        <f>DiscreteStatsTable[[#This Row],[ProjectName]]&amp;DiscreteStatsTable[[#This Row],[Name]]&amp;DiscreteStatsTable[[#This Row],[Type]]&amp;DiscreteStatsTable[[#This Row],[Source]]</f>
        <v>Unnamed ProjectTech CallWait TimeEntity</v>
      </c>
      <c r="M36">
        <f t="array" ref="M36">MAX(IF((ProjectInfoTable[ProjectName]=DiscreteStatsTable[[#This Row],[ProjectName]]),(ProjectInfoTable[ProjectName]=DiscreteStatsTable[[#This Row],[ProjectName]])*ProjectInfoTable[NumberOfReplications]))</f>
        <v>1</v>
      </c>
      <c r="N36">
        <f t="array" ref="N36">IFERROR(AVERAGE(IF((DiscreteStatsTable[GroupByKey]=DiscreteStatsTable[[#This Row],[GroupByKey]]),(DiscreteStatsTable[GroupByKey]=DiscreteStatsTable[[#This Row],[GroupByKey]])*DiscreteStatsTable[Average])),0)</f>
        <v>9.2266354407801092</v>
      </c>
      <c r="O36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6">
        <f t="array" ref="R36">MIN(IF((DiscreteStatsTable[GroupByKey]=DiscreteStatsTable[[#This Row],[GroupByKey]]),(DiscreteStatsTable[GroupByKey]=DiscreteStatsTable[[#This Row],[GroupByKey]])*DiscreteStatsTable[Average]))</f>
        <v>9.2266354407801092</v>
      </c>
      <c r="S36">
        <f t="array" ref="S36">MAX(IF((DiscreteStatsTable[GroupByKey]=DiscreteStatsTable[[#This Row],[GroupByKey]]),(DiscreteStatsTable[GroupByKey]=DiscreteStatsTable[[#This Row],[GroupByKey]])*DiscreteStatsTable[Average]))</f>
        <v>9.2266354407801092</v>
      </c>
      <c r="T36">
        <f t="array" ref="T36">MIN(IF((DiscreteStatsTable[GroupByKey]=DiscreteStatsTable[[#This Row],[GroupByKey]]),(DiscreteStatsTable[GroupByKey]=DiscreteStatsTable[[#This Row],[GroupByKey]])*DiscreteStatsTable[Minimum]))</f>
        <v>0</v>
      </c>
      <c r="U36">
        <f t="array" ref="U36">MAX(IF((DiscreteStatsTable[GroupByKey]=DiscreteStatsTable[[#This Row],[GroupByKey]]),(DiscreteStatsTable[GroupByKey]=DiscreteStatsTable[[#This Row],[GroupByKey]])*DiscreteStatsTable[Maximum]))</f>
        <v>55.448830613305503</v>
      </c>
      <c r="V36">
        <f t="array" ref="V36">IFERROR(AVERAGE(IF((DiscreteStatsTable[GroupByKey]=DiscreteStatsTable[[#This Row],[GroupByKey]]),(DiscreteStatsTable[GroupByKey]=DiscreteStatsTable[[#This Row],[GroupByKey]])*DiscreteStatsTable[NumberObservations])),0)</f>
        <v>492</v>
      </c>
      <c r="W36">
        <f>IF((DiscreteStatsTable[[#This Row],[RepsRequested]]&gt;1),DiscreteStatsTable[[#This Row],[HalfWidth]],DiscreteStatsTable[[#This Row],[BatchMeansHalfWidth]])</f>
        <v>3E+20</v>
      </c>
      <c r="X36">
        <f t="array" ref="X36">COUNT(IF((DiscreteStatsTable[GroupByKey]=DiscreteStatsTable[[#This Row],[GroupByKey]]),(DiscreteStatsTable[GroupByKey]=DiscreteStatsTable[[#This Row],[GroupByKey]])*DiscreteStatsTable[Replication]))</f>
        <v>1</v>
      </c>
      <c r="Y36">
        <f>IF(DiscreteStatsTable[[#This Row],[RepsRequested]]=DiscreteStatsTable[[#This Row],[RepsWithStatObserved]],1,0)</f>
        <v>1</v>
      </c>
    </row>
  </sheetData>
  <phoneticPr fontId="2" type="noConversion"/>
  <conditionalFormatting sqref="H2:H36 Q2:Q36">
    <cfRule type="expression" dxfId="19" priority="23">
      <formula>H2=200000000000000000000</formula>
    </cfRule>
  </conditionalFormatting>
  <conditionalFormatting sqref="H2:H36">
    <cfRule type="expression" dxfId="18" priority="21">
      <formula>H2=300000000000000000000</formula>
    </cfRule>
  </conditionalFormatting>
  <conditionalFormatting sqref="L2:Y36">
    <cfRule type="expression" dxfId="17" priority="19">
      <formula>MOD(ROW(),2)=0</formula>
    </cfRule>
  </conditionalFormatting>
  <conditionalFormatting sqref="Y2:Y36">
    <cfRule type="expression" dxfId="16" priority="14">
      <formula>Y2=0</formula>
    </cfRule>
    <cfRule type="expression" dxfId="15" priority="16">
      <formula>Y2=1</formula>
    </cfRule>
  </conditionalFormatting>
  <conditionalFormatting sqref="Y3:Y36">
    <cfRule type="expression" dxfId="14" priority="15">
      <formula>Y3=1</formula>
    </cfRule>
  </conditionalFormatting>
  <conditionalFormatting sqref="W2:W36">
    <cfRule type="expression" dxfId="13" priority="6">
      <formula>W2=300000000000000000000</formula>
    </cfRule>
    <cfRule type="expression" dxfId="12" priority="7">
      <formula>W2=200000000000000000000</formula>
    </cfRule>
  </conditionalFormatting>
  <conditionalFormatting sqref="Q2:Q36 W2:W36">
    <cfRule type="expression" dxfId="11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7"/>
  <sheetViews>
    <sheetView workbookViewId="0">
      <selection activeCell="D2" sqref="D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37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74.1406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69</v>
      </c>
      <c r="C2">
        <v>1</v>
      </c>
      <c r="D2" t="s">
        <v>70</v>
      </c>
      <c r="E2" t="s">
        <v>89</v>
      </c>
      <c r="F2" t="s">
        <v>72</v>
      </c>
      <c r="G2">
        <v>0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>
        <f t="array" ref="O2">IFERROR(AVERAGE(IF((ContinuousStatsTable[GroupByKey]=ContinuousStatsTable[[#This Row],[GroupByKey]]),(ContinuousStatsTable[GroupByKey]=ContinuousStatsTable[[#This Row],[GroupByKey]])*ContinuousStatsTable[Average])),0)</f>
        <v>0</v>
      </c>
      <c r="P2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>
        <f t="array" ref="T2">MAX(IF((ContinuousStatsTable[GroupByKey]=ContinuousStatsTable[[#This Row],[GroupByKey]]),(ContinuousStatsTable[GroupByKey]=ContinuousStatsTable[[#This Row],[GroupByKey]])*ContinuousStatsTable[Average]))</f>
        <v>0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25">
      <c r="A3" t="s">
        <v>67</v>
      </c>
      <c r="B3" t="s">
        <v>69</v>
      </c>
      <c r="C3">
        <v>1</v>
      </c>
      <c r="D3" t="s">
        <v>78</v>
      </c>
      <c r="E3" t="s">
        <v>89</v>
      </c>
      <c r="F3" t="s">
        <v>72</v>
      </c>
      <c r="G3">
        <v>0.34974338563160001</v>
      </c>
      <c r="H3">
        <v>3.2963413576912598E-2</v>
      </c>
      <c r="I3">
        <v>0</v>
      </c>
      <c r="J3">
        <v>4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ProjectIncoming CallWIPEntity</v>
      </c>
      <c r="N3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>
        <f t="array" ref="O3">IFERROR(AVERAGE(IF((ContinuousStatsTable[GroupByKey]=ContinuousStatsTable[[#This Row],[GroupByKey]]),(ContinuousStatsTable[GroupByKey]=ContinuousStatsTable[[#This Row],[GroupByKey]])*ContinuousStatsTable[Average])),0)</f>
        <v>0.34974338563160001</v>
      </c>
      <c r="P3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>
        <f t="array" ref="S3">MIN(IF((ContinuousStatsTable[GroupByKey]=ContinuousStatsTable[[#This Row],[GroupByKey]]),(ContinuousStatsTable[GroupByKey]=ContinuousStatsTable[[#This Row],[GroupByKey]])*ContinuousStatsTable[Average]))</f>
        <v>0.34974338563160001</v>
      </c>
      <c r="T3">
        <f t="array" ref="T3">MAX(IF((ContinuousStatsTable[GroupByKey]=ContinuousStatsTable[[#This Row],[GroupByKey]]),(ContinuousStatsTable[GroupByKey]=ContinuousStatsTable[[#This Row],[GroupByKey]])*ContinuousStatsTable[Average]))</f>
        <v>0.34974338563160001</v>
      </c>
      <c r="U3">
        <f>IF((ContinuousStatsTable[[#This Row],[RepsRequested]]&gt;1),ContinuousStatsTable[[#This Row],[HalfWidth]],ContinuousStatsTable[[#This Row],[BatchMeansHalfWidth]])</f>
        <v>3.2963413576912598E-2</v>
      </c>
    </row>
    <row r="4" spans="1:21" x14ac:dyDescent="0.25">
      <c r="A4" t="s">
        <v>67</v>
      </c>
      <c r="B4" t="s">
        <v>69</v>
      </c>
      <c r="C4">
        <v>1</v>
      </c>
      <c r="D4" t="s">
        <v>79</v>
      </c>
      <c r="E4" t="s">
        <v>89</v>
      </c>
      <c r="F4" t="s">
        <v>72</v>
      </c>
      <c r="G4">
        <v>0.62853915127286897</v>
      </c>
      <c r="H4">
        <v>2E+20</v>
      </c>
      <c r="I4">
        <v>0</v>
      </c>
      <c r="J4">
        <v>3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ProjectOrder Status CallWIPEntity</v>
      </c>
      <c r="N4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>
        <f t="array" ref="O4">IFERROR(AVERAGE(IF((ContinuousStatsTable[GroupByKey]=ContinuousStatsTable[[#This Row],[GroupByKey]]),(ContinuousStatsTable[GroupByKey]=ContinuousStatsTable[[#This Row],[GroupByKey]])*ContinuousStatsTable[Average])),0)</f>
        <v>0.62853915127286897</v>
      </c>
      <c r="P4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>
        <f t="array" ref="S4">MIN(IF((ContinuousStatsTable[GroupByKey]=ContinuousStatsTable[[#This Row],[GroupByKey]]),(ContinuousStatsTable[GroupByKey]=ContinuousStatsTable[[#This Row],[GroupByKey]])*ContinuousStatsTable[Average]))</f>
        <v>0.62853915127286897</v>
      </c>
      <c r="T4">
        <f t="array" ref="T4">MAX(IF((ContinuousStatsTable[GroupByKey]=ContinuousStatsTable[[#This Row],[GroupByKey]]),(ContinuousStatsTable[GroupByKey]=ContinuousStatsTable[[#This Row],[GroupByKey]])*ContinuousStatsTable[Average]))</f>
        <v>0.62853915127286897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25">
      <c r="A5" t="s">
        <v>67</v>
      </c>
      <c r="B5" t="s">
        <v>69</v>
      </c>
      <c r="C5">
        <v>1</v>
      </c>
      <c r="D5" t="s">
        <v>90</v>
      </c>
      <c r="E5" t="s">
        <v>91</v>
      </c>
      <c r="F5" t="s">
        <v>82</v>
      </c>
      <c r="G5">
        <v>0</v>
      </c>
      <c r="H5">
        <v>2E+20</v>
      </c>
      <c r="I5">
        <v>0</v>
      </c>
      <c r="J5">
        <v>0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ProjectOrder Status Seizes Sales Person.QueueNumber WaitingQueue</v>
      </c>
      <c r="N5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>
        <f t="array" ref="O5">IFERROR(AVERAGE(IF((ContinuousStatsTable[GroupByKey]=ContinuousStatsTable[[#This Row],[GroupByKey]]),(ContinuousStatsTable[GroupByKey]=ContinuousStatsTable[[#This Row],[GroupByKey]])*ContinuousStatsTable[Average])),0)</f>
        <v>0</v>
      </c>
      <c r="P5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>
        <f t="array" ref="T5">MAX(IF((ContinuousStatsTable[GroupByKey]=ContinuousStatsTable[[#This Row],[GroupByKey]]),(ContinuousStatsTable[GroupByKey]=ContinuousStatsTable[[#This Row],[GroupByKey]])*ContinuousStatsTable[Average]))</f>
        <v>0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25">
      <c r="A6" t="s">
        <v>67</v>
      </c>
      <c r="B6" t="s">
        <v>69</v>
      </c>
      <c r="C6">
        <v>1</v>
      </c>
      <c r="D6" t="s">
        <v>80</v>
      </c>
      <c r="E6" t="s">
        <v>91</v>
      </c>
      <c r="F6" t="s">
        <v>82</v>
      </c>
      <c r="G6">
        <v>5.33494275487016</v>
      </c>
      <c r="H6">
        <v>2E+20</v>
      </c>
      <c r="I6">
        <v>0</v>
      </c>
      <c r="J6">
        <v>15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ProjectProcess Product Type 1.QueueNumber WaitingQueue</v>
      </c>
      <c r="N6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>
        <f t="array" ref="O6">IFERROR(AVERAGE(IF((ContinuousStatsTable[GroupByKey]=ContinuousStatsTable[[#This Row],[GroupByKey]]),(ContinuousStatsTable[GroupByKey]=ContinuousStatsTable[[#This Row],[GroupByKey]])*ContinuousStatsTable[Average])),0)</f>
        <v>5.33494275487016</v>
      </c>
      <c r="P6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>
        <f t="array" ref="S6">MIN(IF((ContinuousStatsTable[GroupByKey]=ContinuousStatsTable[[#This Row],[GroupByKey]]),(ContinuousStatsTable[GroupByKey]=ContinuousStatsTable[[#This Row],[GroupByKey]])*ContinuousStatsTable[Average]))</f>
        <v>5.33494275487016</v>
      </c>
      <c r="T6">
        <f t="array" ref="T6">MAX(IF((ContinuousStatsTable[GroupByKey]=ContinuousStatsTable[[#This Row],[GroupByKey]]),(ContinuousStatsTable[GroupByKey]=ContinuousStatsTable[[#This Row],[GroupByKey]])*ContinuousStatsTable[Average]))</f>
        <v>5.33494275487016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25">
      <c r="A7" t="s">
        <v>67</v>
      </c>
      <c r="B7" t="s">
        <v>69</v>
      </c>
      <c r="C7">
        <v>1</v>
      </c>
      <c r="D7" t="s">
        <v>83</v>
      </c>
      <c r="E7" t="s">
        <v>91</v>
      </c>
      <c r="F7" t="s">
        <v>82</v>
      </c>
      <c r="G7">
        <v>0.64476609102739701</v>
      </c>
      <c r="H7">
        <v>2E+20</v>
      </c>
      <c r="I7">
        <v>0</v>
      </c>
      <c r="J7">
        <v>5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ProjectProcess Product Type 2.QueueNumber WaitingQueue</v>
      </c>
      <c r="N7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>
        <f t="array" ref="O7">IFERROR(AVERAGE(IF((ContinuousStatsTable[GroupByKey]=ContinuousStatsTable[[#This Row],[GroupByKey]]),(ContinuousStatsTable[GroupByKey]=ContinuousStatsTable[[#This Row],[GroupByKey]])*ContinuousStatsTable[Average])),0)</f>
        <v>0.64476609102739701</v>
      </c>
      <c r="P7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>
        <f t="array" ref="S7">MIN(IF((ContinuousStatsTable[GroupByKey]=ContinuousStatsTable[[#This Row],[GroupByKey]]),(ContinuousStatsTable[GroupByKey]=ContinuousStatsTable[[#This Row],[GroupByKey]])*ContinuousStatsTable[Average]))</f>
        <v>0.64476609102739701</v>
      </c>
      <c r="T7">
        <f t="array" ref="T7">MAX(IF((ContinuousStatsTable[GroupByKey]=ContinuousStatsTable[[#This Row],[GroupByKey]]),(ContinuousStatsTable[GroupByKey]=ContinuousStatsTable[[#This Row],[GroupByKey]])*ContinuousStatsTable[Average]))</f>
        <v>0.64476609102739701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25">
      <c r="A8" t="s">
        <v>67</v>
      </c>
      <c r="B8" t="s">
        <v>69</v>
      </c>
      <c r="C8">
        <v>1</v>
      </c>
      <c r="D8" t="s">
        <v>84</v>
      </c>
      <c r="E8" t="s">
        <v>91</v>
      </c>
      <c r="F8" t="s">
        <v>82</v>
      </c>
      <c r="G8">
        <v>1.1445507910916599</v>
      </c>
      <c r="H8">
        <v>2E+20</v>
      </c>
      <c r="I8">
        <v>0</v>
      </c>
      <c r="J8">
        <v>5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ProjectProcess Product Type 3.QueueNumber WaitingQueue</v>
      </c>
      <c r="N8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>
        <f t="array" ref="O8">IFERROR(AVERAGE(IF((ContinuousStatsTable[GroupByKey]=ContinuousStatsTable[[#This Row],[GroupByKey]]),(ContinuousStatsTable[GroupByKey]=ContinuousStatsTable[[#This Row],[GroupByKey]])*ContinuousStatsTable[Average])),0)</f>
        <v>1.1445507910916599</v>
      </c>
      <c r="P8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>
        <f t="array" ref="S8">MIN(IF((ContinuousStatsTable[GroupByKey]=ContinuousStatsTable[[#This Row],[GroupByKey]]),(ContinuousStatsTable[GroupByKey]=ContinuousStatsTable[[#This Row],[GroupByKey]])*ContinuousStatsTable[Average]))</f>
        <v>1.1445507910916599</v>
      </c>
      <c r="T8">
        <f t="array" ref="T8">MAX(IF((ContinuousStatsTable[GroupByKey]=ContinuousStatsTable[[#This Row],[GroupByKey]]),(ContinuousStatsTable[GroupByKey]=ContinuousStatsTable[[#This Row],[GroupByKey]])*ContinuousStatsTable[Average]))</f>
        <v>1.1445507910916599</v>
      </c>
      <c r="U8">
        <f>IF((ContinuousStatsTable[[#This Row],[RepsRequested]]&gt;1),ContinuousStatsTable[[#This Row],[HalfWidth]],ContinuousStatsTable[[#This Row],[BatchMeansHalfWidth]])</f>
        <v>2E+20</v>
      </c>
    </row>
    <row r="9" spans="1:21" x14ac:dyDescent="0.25">
      <c r="A9" t="s">
        <v>67</v>
      </c>
      <c r="B9" t="s">
        <v>69</v>
      </c>
      <c r="C9">
        <v>1</v>
      </c>
      <c r="D9" t="s">
        <v>85</v>
      </c>
      <c r="E9" t="s">
        <v>91</v>
      </c>
      <c r="F9" t="s">
        <v>82</v>
      </c>
      <c r="G9">
        <v>2.0992144957118501</v>
      </c>
      <c r="H9">
        <v>2E+20</v>
      </c>
      <c r="I9">
        <v>0</v>
      </c>
      <c r="J9">
        <v>9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ProjectProcess Sales Call.QueueNumber WaitingQueue</v>
      </c>
      <c r="N9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>
        <f t="array" ref="O9">IFERROR(AVERAGE(IF((ContinuousStatsTable[GroupByKey]=ContinuousStatsTable[[#This Row],[GroupByKey]]),(ContinuousStatsTable[GroupByKey]=ContinuousStatsTable[[#This Row],[GroupByKey]])*ContinuousStatsTable[Average])),0)</f>
        <v>2.0992144957118501</v>
      </c>
      <c r="P9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>
        <f t="array" ref="S9">MIN(IF((ContinuousStatsTable[GroupByKey]=ContinuousStatsTable[[#This Row],[GroupByKey]]),(ContinuousStatsTable[GroupByKey]=ContinuousStatsTable[[#This Row],[GroupByKey]])*ContinuousStatsTable[Average]))</f>
        <v>2.0992144957118501</v>
      </c>
      <c r="T9">
        <f t="array" ref="T9">MAX(IF((ContinuousStatsTable[GroupByKey]=ContinuousStatsTable[[#This Row],[GroupByKey]]),(ContinuousStatsTable[GroupByKey]=ContinuousStatsTable[[#This Row],[GroupByKey]])*ContinuousStatsTable[Average]))</f>
        <v>2.0992144957118501</v>
      </c>
      <c r="U9">
        <f>IF((ContinuousStatsTable[[#This Row],[RepsRequested]]&gt;1),ContinuousStatsTable[[#This Row],[HalfWidth]],ContinuousStatsTable[[#This Row],[BatchMeansHalfWidth]])</f>
        <v>2E+20</v>
      </c>
    </row>
    <row r="10" spans="1:21" x14ac:dyDescent="0.25">
      <c r="A10" t="s">
        <v>67</v>
      </c>
      <c r="B10" t="s">
        <v>69</v>
      </c>
      <c r="C10">
        <v>1</v>
      </c>
      <c r="D10" t="s">
        <v>92</v>
      </c>
      <c r="E10" t="s">
        <v>93</v>
      </c>
      <c r="F10" t="s">
        <v>94</v>
      </c>
      <c r="G10">
        <v>0.81652954821607504</v>
      </c>
      <c r="H10">
        <v>2E+20</v>
      </c>
      <c r="I10">
        <v>0</v>
      </c>
      <c r="J10">
        <v>1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ProjectSalesInstantaneous UtilizationResource</v>
      </c>
      <c r="N10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>
        <f t="array" ref="O10">IFERROR(AVERAGE(IF((ContinuousStatsTable[GroupByKey]=ContinuousStatsTable[[#This Row],[GroupByKey]]),(ContinuousStatsTable[GroupByKey]=ContinuousStatsTable[[#This Row],[GroupByKey]])*ContinuousStatsTable[Average])),0)</f>
        <v>0.81652954821607504</v>
      </c>
      <c r="P10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>
        <f t="array" ref="S10">MIN(IF((ContinuousStatsTable[GroupByKey]=ContinuousStatsTable[[#This Row],[GroupByKey]]),(ContinuousStatsTable[GroupByKey]=ContinuousStatsTable[[#This Row],[GroupByKey]])*ContinuousStatsTable[Average]))</f>
        <v>0.81652954821607504</v>
      </c>
      <c r="T10">
        <f t="array" ref="T10">MAX(IF((ContinuousStatsTable[GroupByKey]=ContinuousStatsTable[[#This Row],[GroupByKey]]),(ContinuousStatsTable[GroupByKey]=ContinuousStatsTable[[#This Row],[GroupByKey]])*ContinuousStatsTable[Average]))</f>
        <v>0.81652954821607504</v>
      </c>
      <c r="U10">
        <f>IF((ContinuousStatsTable[[#This Row],[RepsRequested]]&gt;1),ContinuousStatsTable[[#This Row],[HalfWidth]],ContinuousStatsTable[[#This Row],[BatchMeansHalfWidth]])</f>
        <v>2E+20</v>
      </c>
    </row>
    <row r="11" spans="1:21" x14ac:dyDescent="0.25">
      <c r="A11" t="s">
        <v>67</v>
      </c>
      <c r="B11" t="s">
        <v>69</v>
      </c>
      <c r="C11">
        <v>1</v>
      </c>
      <c r="D11" t="s">
        <v>92</v>
      </c>
      <c r="E11" t="s">
        <v>95</v>
      </c>
      <c r="F11" t="s">
        <v>94</v>
      </c>
      <c r="G11">
        <v>3.2661181928643002</v>
      </c>
      <c r="H11">
        <v>2E+20</v>
      </c>
      <c r="I11">
        <v>0</v>
      </c>
      <c r="J11">
        <v>4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ProjectSalesNumber BusyResource</v>
      </c>
      <c r="N1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>
        <f t="array" ref="O11">IFERROR(AVERAGE(IF((ContinuousStatsTable[GroupByKey]=ContinuousStatsTable[[#This Row],[GroupByKey]]),(ContinuousStatsTable[GroupByKey]=ContinuousStatsTable[[#This Row],[GroupByKey]])*ContinuousStatsTable[Average])),0)</f>
        <v>3.2661181928643002</v>
      </c>
      <c r="P1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>
        <f t="array" ref="S11">MIN(IF((ContinuousStatsTable[GroupByKey]=ContinuousStatsTable[[#This Row],[GroupByKey]]),(ContinuousStatsTable[GroupByKey]=ContinuousStatsTable[[#This Row],[GroupByKey]])*ContinuousStatsTable[Average]))</f>
        <v>3.2661181928643002</v>
      </c>
      <c r="T11">
        <f t="array" ref="T11">MAX(IF((ContinuousStatsTable[GroupByKey]=ContinuousStatsTable[[#This Row],[GroupByKey]]),(ContinuousStatsTable[GroupByKey]=ContinuousStatsTable[[#This Row],[GroupByKey]])*ContinuousStatsTable[Average]))</f>
        <v>3.2661181928643002</v>
      </c>
      <c r="U11">
        <f>IF((ContinuousStatsTable[[#This Row],[RepsRequested]]&gt;1),ContinuousStatsTable[[#This Row],[HalfWidth]],ContinuousStatsTable[[#This Row],[BatchMeansHalfWidth]])</f>
        <v>2E+20</v>
      </c>
    </row>
    <row r="12" spans="1:21" x14ac:dyDescent="0.25">
      <c r="A12" t="s">
        <v>67</v>
      </c>
      <c r="B12" t="s">
        <v>69</v>
      </c>
      <c r="C12">
        <v>1</v>
      </c>
      <c r="D12" t="s">
        <v>92</v>
      </c>
      <c r="E12" t="s">
        <v>96</v>
      </c>
      <c r="F12" t="s">
        <v>94</v>
      </c>
      <c r="G12">
        <v>4</v>
      </c>
      <c r="H12">
        <v>2E+20</v>
      </c>
      <c r="I12">
        <v>4</v>
      </c>
      <c r="J12">
        <v>4</v>
      </c>
      <c r="K12">
        <v>4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ProjectSalesNumber ScheduledResource</v>
      </c>
      <c r="N12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>
        <f t="array" ref="O12">IFERROR(AVERAGE(IF((ContinuousStatsTable[GroupByKey]=ContinuousStatsTable[[#This Row],[GroupByKey]]),(ContinuousStatsTable[GroupByKey]=ContinuousStatsTable[[#This Row],[GroupByKey]])*ContinuousStatsTable[Average])),0)</f>
        <v>4</v>
      </c>
      <c r="P12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>
        <f t="array" ref="S12">MIN(IF((ContinuousStatsTable[GroupByKey]=ContinuousStatsTable[[#This Row],[GroupByKey]]),(ContinuousStatsTable[GroupByKey]=ContinuousStatsTable[[#This Row],[GroupByKey]])*ContinuousStatsTable[Average]))</f>
        <v>4</v>
      </c>
      <c r="T12">
        <f t="array" ref="T12">MAX(IF((ContinuousStatsTable[GroupByKey]=ContinuousStatsTable[[#This Row],[GroupByKey]]),(ContinuousStatsTable[GroupByKey]=ContinuousStatsTable[[#This Row],[GroupByKey]])*ContinuousStatsTable[Average]))</f>
        <v>4</v>
      </c>
      <c r="U12">
        <f>IF((ContinuousStatsTable[[#This Row],[RepsRequested]]&gt;1),ContinuousStatsTable[[#This Row],[HalfWidth]],ContinuousStatsTable[[#This Row],[BatchMeansHalfWidth]])</f>
        <v>2E+20</v>
      </c>
    </row>
    <row r="13" spans="1:21" x14ac:dyDescent="0.25">
      <c r="A13" t="s">
        <v>67</v>
      </c>
      <c r="B13" t="s">
        <v>69</v>
      </c>
      <c r="C13">
        <v>1</v>
      </c>
      <c r="D13" t="s">
        <v>86</v>
      </c>
      <c r="E13" t="s">
        <v>89</v>
      </c>
      <c r="F13" t="s">
        <v>72</v>
      </c>
      <c r="G13">
        <v>4.9807404544391902</v>
      </c>
      <c r="H13">
        <v>2E+20</v>
      </c>
      <c r="I13">
        <v>0</v>
      </c>
      <c r="J13">
        <v>12</v>
      </c>
      <c r="K13">
        <v>0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ProjectSales CallWIPEntity</v>
      </c>
      <c r="N13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>
        <f t="array" ref="O13">IFERROR(AVERAGE(IF((ContinuousStatsTable[GroupByKey]=ContinuousStatsTable[[#This Row],[GroupByKey]]),(ContinuousStatsTable[GroupByKey]=ContinuousStatsTable[[#This Row],[GroupByKey]])*ContinuousStatsTable[Average])),0)</f>
        <v>4.9807404544391902</v>
      </c>
      <c r="P13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>
        <f t="array" ref="S13">MIN(IF((ContinuousStatsTable[GroupByKey]=ContinuousStatsTable[[#This Row],[GroupByKey]]),(ContinuousStatsTable[GroupByKey]=ContinuousStatsTable[[#This Row],[GroupByKey]])*ContinuousStatsTable[Average]))</f>
        <v>4.9807404544391902</v>
      </c>
      <c r="T13">
        <f t="array" ref="T13">MAX(IF((ContinuousStatsTable[GroupByKey]=ContinuousStatsTable[[#This Row],[GroupByKey]]),(ContinuousStatsTable[GroupByKey]=ContinuousStatsTable[[#This Row],[GroupByKey]])*ContinuousStatsTable[Average]))</f>
        <v>4.9807404544391902</v>
      </c>
      <c r="U13">
        <f>IF((ContinuousStatsTable[[#This Row],[RepsRequested]]&gt;1),ContinuousStatsTable[[#This Row],[HalfWidth]],ContinuousStatsTable[[#This Row],[BatchMeansHalfWidth]])</f>
        <v>2E+20</v>
      </c>
    </row>
    <row r="14" spans="1:21" x14ac:dyDescent="0.25">
      <c r="A14" t="s">
        <v>67</v>
      </c>
      <c r="B14" t="s">
        <v>69</v>
      </c>
      <c r="C14">
        <v>1</v>
      </c>
      <c r="D14" t="s">
        <v>87</v>
      </c>
      <c r="E14" t="s">
        <v>91</v>
      </c>
      <c r="F14" t="s">
        <v>82</v>
      </c>
      <c r="G14">
        <v>0</v>
      </c>
      <c r="H14">
        <v>2E+20</v>
      </c>
      <c r="I14">
        <v>0</v>
      </c>
      <c r="J14">
        <v>0</v>
      </c>
      <c r="K14">
        <v>0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ProjectSeize Trunk Line.QueueNumber WaitingQueue</v>
      </c>
      <c r="N14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>
        <f t="array" ref="O14">IFERROR(AVERAGE(IF((ContinuousStatsTable[GroupByKey]=ContinuousStatsTable[[#This Row],[GroupByKey]]),(ContinuousStatsTable[GroupByKey]=ContinuousStatsTable[[#This Row],[GroupByKey]])*ContinuousStatsTable[Average])),0)</f>
        <v>0</v>
      </c>
      <c r="P14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>
        <f t="array" ref="S14">MIN(IF((ContinuousStatsTable[GroupByKey]=ContinuousStatsTable[[#This Row],[GroupByKey]]),(ContinuousStatsTable[GroupByKey]=ContinuousStatsTable[[#This Row],[GroupByKey]])*ContinuousStatsTable[Average]))</f>
        <v>0</v>
      </c>
      <c r="T14">
        <f t="array" ref="T14">MAX(IF((ContinuousStatsTable[GroupByKey]=ContinuousStatsTable[[#This Row],[GroupByKey]]),(ContinuousStatsTable[GroupByKey]=ContinuousStatsTable[[#This Row],[GroupByKey]])*ContinuousStatsTable[Average]))</f>
        <v>0</v>
      </c>
      <c r="U14">
        <f>IF((ContinuousStatsTable[[#This Row],[RepsRequested]]&gt;1),ContinuousStatsTable[[#This Row],[HalfWidth]],ContinuousStatsTable[[#This Row],[BatchMeansHalfWidth]])</f>
        <v>2E+20</v>
      </c>
    </row>
    <row r="15" spans="1:21" x14ac:dyDescent="0.25">
      <c r="A15" t="s">
        <v>67</v>
      </c>
      <c r="B15" t="s">
        <v>69</v>
      </c>
      <c r="C15">
        <v>1</v>
      </c>
      <c r="D15" t="s">
        <v>97</v>
      </c>
      <c r="E15" t="s">
        <v>93</v>
      </c>
      <c r="F15" t="s">
        <v>94</v>
      </c>
      <c r="G15">
        <v>0.95668263177997903</v>
      </c>
      <c r="H15">
        <v>2E+20</v>
      </c>
      <c r="I15">
        <v>0</v>
      </c>
      <c r="J15">
        <v>1</v>
      </c>
      <c r="K15">
        <v>0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ProjectTech 1Instantaneous UtilizationResource</v>
      </c>
      <c r="N15">
        <f t="array" ref="N15">MAX(IF((ProjectInfoTable[ProjectName]=ContinuousStatsTable[[#This Row],[ProjectName]]),(ProjectInfoTable[ProjectName]=ContinuousStatsTable[[#This Row],[ProjectName]])*ProjectInfoTable[NumberOfReplications]))</f>
        <v>1</v>
      </c>
      <c r="O15">
        <f t="array" ref="O15">IFERROR(AVERAGE(IF((ContinuousStatsTable[GroupByKey]=ContinuousStatsTable[[#This Row],[GroupByKey]]),(ContinuousStatsTable[GroupByKey]=ContinuousStatsTable[[#This Row],[GroupByKey]])*ContinuousStatsTable[Average])),0)</f>
        <v>0.95668263177997903</v>
      </c>
      <c r="P15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5">
        <f t="array" ref="S15">MIN(IF((ContinuousStatsTable[GroupByKey]=ContinuousStatsTable[[#This Row],[GroupByKey]]),(ContinuousStatsTable[GroupByKey]=ContinuousStatsTable[[#This Row],[GroupByKey]])*ContinuousStatsTable[Average]))</f>
        <v>0.95668263177997903</v>
      </c>
      <c r="T15">
        <f t="array" ref="T15">MAX(IF((ContinuousStatsTable[GroupByKey]=ContinuousStatsTable[[#This Row],[GroupByKey]]),(ContinuousStatsTable[GroupByKey]=ContinuousStatsTable[[#This Row],[GroupByKey]])*ContinuousStatsTable[Average]))</f>
        <v>0.95668263177997903</v>
      </c>
      <c r="U15">
        <f>IF((ContinuousStatsTable[[#This Row],[RepsRequested]]&gt;1),ContinuousStatsTable[[#This Row],[HalfWidth]],ContinuousStatsTable[[#This Row],[BatchMeansHalfWidth]])</f>
        <v>2E+20</v>
      </c>
    </row>
    <row r="16" spans="1:21" x14ac:dyDescent="0.25">
      <c r="A16" t="s">
        <v>67</v>
      </c>
      <c r="B16" t="s">
        <v>69</v>
      </c>
      <c r="C16">
        <v>1</v>
      </c>
      <c r="D16" t="s">
        <v>97</v>
      </c>
      <c r="E16" t="s">
        <v>95</v>
      </c>
      <c r="F16" t="s">
        <v>94</v>
      </c>
      <c r="G16">
        <v>1.9133652635599601</v>
      </c>
      <c r="H16">
        <v>2E+20</v>
      </c>
      <c r="I16">
        <v>0</v>
      </c>
      <c r="J16">
        <v>2</v>
      </c>
      <c r="K16">
        <v>0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ProjectTech 1Number BusyResource</v>
      </c>
      <c r="N16">
        <f t="array" ref="N16">MAX(IF((ProjectInfoTable[ProjectName]=ContinuousStatsTable[[#This Row],[ProjectName]]),(ProjectInfoTable[ProjectName]=ContinuousStatsTable[[#This Row],[ProjectName]])*ProjectInfoTable[NumberOfReplications]))</f>
        <v>1</v>
      </c>
      <c r="O16">
        <f t="array" ref="O16">IFERROR(AVERAGE(IF((ContinuousStatsTable[GroupByKey]=ContinuousStatsTable[[#This Row],[GroupByKey]]),(ContinuousStatsTable[GroupByKey]=ContinuousStatsTable[[#This Row],[GroupByKey]])*ContinuousStatsTable[Average])),0)</f>
        <v>1.9133652635599601</v>
      </c>
      <c r="P16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6">
        <f t="array" ref="S16">MIN(IF((ContinuousStatsTable[GroupByKey]=ContinuousStatsTable[[#This Row],[GroupByKey]]),(ContinuousStatsTable[GroupByKey]=ContinuousStatsTable[[#This Row],[GroupByKey]])*ContinuousStatsTable[Average]))</f>
        <v>1.9133652635599601</v>
      </c>
      <c r="T16">
        <f t="array" ref="T16">MAX(IF((ContinuousStatsTable[GroupByKey]=ContinuousStatsTable[[#This Row],[GroupByKey]]),(ContinuousStatsTable[GroupByKey]=ContinuousStatsTable[[#This Row],[GroupByKey]])*ContinuousStatsTable[Average]))</f>
        <v>1.9133652635599601</v>
      </c>
      <c r="U16">
        <f>IF((ContinuousStatsTable[[#This Row],[RepsRequested]]&gt;1),ContinuousStatsTable[[#This Row],[HalfWidth]],ContinuousStatsTable[[#This Row],[BatchMeansHalfWidth]])</f>
        <v>2E+20</v>
      </c>
    </row>
    <row r="17" spans="1:21" x14ac:dyDescent="0.25">
      <c r="A17" t="s">
        <v>67</v>
      </c>
      <c r="B17" t="s">
        <v>69</v>
      </c>
      <c r="C17">
        <v>1</v>
      </c>
      <c r="D17" t="s">
        <v>97</v>
      </c>
      <c r="E17" t="s">
        <v>96</v>
      </c>
      <c r="F17" t="s">
        <v>94</v>
      </c>
      <c r="G17">
        <v>2</v>
      </c>
      <c r="H17">
        <v>2E+20</v>
      </c>
      <c r="I17">
        <v>2</v>
      </c>
      <c r="J17">
        <v>2</v>
      </c>
      <c r="K17">
        <v>2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ProjectTech 1Number ScheduledResource</v>
      </c>
      <c r="N17">
        <f t="array" ref="N17">MAX(IF((ProjectInfoTable[ProjectName]=ContinuousStatsTable[[#This Row],[ProjectName]]),(ProjectInfoTable[ProjectName]=ContinuousStatsTable[[#This Row],[ProjectName]])*ProjectInfoTable[NumberOfReplications]))</f>
        <v>1</v>
      </c>
      <c r="O17">
        <f t="array" ref="O17">IFERROR(AVERAGE(IF((ContinuousStatsTable[GroupByKey]=ContinuousStatsTable[[#This Row],[GroupByKey]]),(ContinuousStatsTable[GroupByKey]=ContinuousStatsTable[[#This Row],[GroupByKey]])*ContinuousStatsTable[Average])),0)</f>
        <v>2</v>
      </c>
      <c r="P17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7">
        <f t="array" ref="S17">MIN(IF((ContinuousStatsTable[GroupByKey]=ContinuousStatsTable[[#This Row],[GroupByKey]]),(ContinuousStatsTable[GroupByKey]=ContinuousStatsTable[[#This Row],[GroupByKey]])*ContinuousStatsTable[Average]))</f>
        <v>2</v>
      </c>
      <c r="T17">
        <f t="array" ref="T17">MAX(IF((ContinuousStatsTable[GroupByKey]=ContinuousStatsTable[[#This Row],[GroupByKey]]),(ContinuousStatsTable[GroupByKey]=ContinuousStatsTable[[#This Row],[GroupByKey]])*ContinuousStatsTable[Average]))</f>
        <v>2</v>
      </c>
      <c r="U17">
        <f>IF((ContinuousStatsTable[[#This Row],[RepsRequested]]&gt;1),ContinuousStatsTable[[#This Row],[HalfWidth]],ContinuousStatsTable[[#This Row],[BatchMeansHalfWidth]])</f>
        <v>2E+20</v>
      </c>
    </row>
    <row r="18" spans="1:21" x14ac:dyDescent="0.25">
      <c r="A18" t="s">
        <v>67</v>
      </c>
      <c r="B18" t="s">
        <v>69</v>
      </c>
      <c r="C18">
        <v>1</v>
      </c>
      <c r="D18" t="s">
        <v>98</v>
      </c>
      <c r="E18" t="s">
        <v>93</v>
      </c>
      <c r="F18" t="s">
        <v>94</v>
      </c>
      <c r="G18">
        <v>0.75884892869016196</v>
      </c>
      <c r="H18">
        <v>2E+20</v>
      </c>
      <c r="I18">
        <v>0</v>
      </c>
      <c r="J18">
        <v>1</v>
      </c>
      <c r="K18">
        <v>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ProjectTech 2Instantaneous UtilizationResource</v>
      </c>
      <c r="N18">
        <f t="array" ref="N18">MAX(IF((ProjectInfoTable[ProjectName]=ContinuousStatsTable[[#This Row],[ProjectName]]),(ProjectInfoTable[ProjectName]=ContinuousStatsTable[[#This Row],[ProjectName]])*ProjectInfoTable[NumberOfReplications]))</f>
        <v>1</v>
      </c>
      <c r="O18">
        <f t="array" ref="O18">IFERROR(AVERAGE(IF((ContinuousStatsTable[GroupByKey]=ContinuousStatsTable[[#This Row],[GroupByKey]]),(ContinuousStatsTable[GroupByKey]=ContinuousStatsTable[[#This Row],[GroupByKey]])*ContinuousStatsTable[Average])),0)</f>
        <v>0.75884892869016196</v>
      </c>
      <c r="P18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8">
        <f t="array" ref="S18">MIN(IF((ContinuousStatsTable[GroupByKey]=ContinuousStatsTable[[#This Row],[GroupByKey]]),(ContinuousStatsTable[GroupByKey]=ContinuousStatsTable[[#This Row],[GroupByKey]])*ContinuousStatsTable[Average]))</f>
        <v>0.75884892869016196</v>
      </c>
      <c r="T18">
        <f t="array" ref="T18">MAX(IF((ContinuousStatsTable[GroupByKey]=ContinuousStatsTable[[#This Row],[GroupByKey]]),(ContinuousStatsTable[GroupByKey]=ContinuousStatsTable[[#This Row],[GroupByKey]])*ContinuousStatsTable[Average]))</f>
        <v>0.75884892869016196</v>
      </c>
      <c r="U18">
        <f>IF((ContinuousStatsTable[[#This Row],[RepsRequested]]&gt;1),ContinuousStatsTable[[#This Row],[HalfWidth]],ContinuousStatsTable[[#This Row],[BatchMeansHalfWidth]])</f>
        <v>2E+20</v>
      </c>
    </row>
    <row r="19" spans="1:21" x14ac:dyDescent="0.25">
      <c r="A19" t="s">
        <v>67</v>
      </c>
      <c r="B19" t="s">
        <v>69</v>
      </c>
      <c r="C19">
        <v>1</v>
      </c>
      <c r="D19" t="s">
        <v>98</v>
      </c>
      <c r="E19" t="s">
        <v>95</v>
      </c>
      <c r="F19" t="s">
        <v>94</v>
      </c>
      <c r="G19">
        <v>2.2765467860704902</v>
      </c>
      <c r="H19">
        <v>2E+20</v>
      </c>
      <c r="I19">
        <v>0</v>
      </c>
      <c r="J19">
        <v>3</v>
      </c>
      <c r="K19">
        <v>0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ProjectTech 2Number BusyResource</v>
      </c>
      <c r="N19">
        <f t="array" ref="N19">MAX(IF((ProjectInfoTable[ProjectName]=ContinuousStatsTable[[#This Row],[ProjectName]]),(ProjectInfoTable[ProjectName]=ContinuousStatsTable[[#This Row],[ProjectName]])*ProjectInfoTable[NumberOfReplications]))</f>
        <v>1</v>
      </c>
      <c r="O19">
        <f t="array" ref="O19">IFERROR(AVERAGE(IF((ContinuousStatsTable[GroupByKey]=ContinuousStatsTable[[#This Row],[GroupByKey]]),(ContinuousStatsTable[GroupByKey]=ContinuousStatsTable[[#This Row],[GroupByKey]])*ContinuousStatsTable[Average])),0)</f>
        <v>2.2765467860704902</v>
      </c>
      <c r="P19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9">
        <f t="array" ref="S19">MIN(IF((ContinuousStatsTable[GroupByKey]=ContinuousStatsTable[[#This Row],[GroupByKey]]),(ContinuousStatsTable[GroupByKey]=ContinuousStatsTable[[#This Row],[GroupByKey]])*ContinuousStatsTable[Average]))</f>
        <v>2.2765467860704902</v>
      </c>
      <c r="T19">
        <f t="array" ref="T19">MAX(IF((ContinuousStatsTable[GroupByKey]=ContinuousStatsTable[[#This Row],[GroupByKey]]),(ContinuousStatsTable[GroupByKey]=ContinuousStatsTable[[#This Row],[GroupByKey]])*ContinuousStatsTable[Average]))</f>
        <v>2.2765467860704902</v>
      </c>
      <c r="U19">
        <f>IF((ContinuousStatsTable[[#This Row],[RepsRequested]]&gt;1),ContinuousStatsTable[[#This Row],[HalfWidth]],ContinuousStatsTable[[#This Row],[BatchMeansHalfWidth]])</f>
        <v>2E+20</v>
      </c>
    </row>
    <row r="20" spans="1:21" x14ac:dyDescent="0.25">
      <c r="A20" t="s">
        <v>67</v>
      </c>
      <c r="B20" t="s">
        <v>69</v>
      </c>
      <c r="C20">
        <v>1</v>
      </c>
      <c r="D20" t="s">
        <v>98</v>
      </c>
      <c r="E20" t="s">
        <v>96</v>
      </c>
      <c r="F20" t="s">
        <v>94</v>
      </c>
      <c r="G20">
        <v>3</v>
      </c>
      <c r="H20">
        <v>2E+20</v>
      </c>
      <c r="I20">
        <v>3</v>
      </c>
      <c r="J20">
        <v>3</v>
      </c>
      <c r="K20">
        <v>3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ProjectTech 2Number ScheduledResource</v>
      </c>
      <c r="N20">
        <f t="array" ref="N20">MAX(IF((ProjectInfoTable[ProjectName]=ContinuousStatsTable[[#This Row],[ProjectName]]),(ProjectInfoTable[ProjectName]=ContinuousStatsTable[[#This Row],[ProjectName]])*ProjectInfoTable[NumberOfReplications]))</f>
        <v>1</v>
      </c>
      <c r="O20">
        <f t="array" ref="O20">IFERROR(AVERAGE(IF((ContinuousStatsTable[GroupByKey]=ContinuousStatsTable[[#This Row],[GroupByKey]]),(ContinuousStatsTable[GroupByKey]=ContinuousStatsTable[[#This Row],[GroupByKey]])*ContinuousStatsTable[Average])),0)</f>
        <v>3</v>
      </c>
      <c r="P20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0">
        <f t="array" ref="S20">MIN(IF((ContinuousStatsTable[GroupByKey]=ContinuousStatsTable[[#This Row],[GroupByKey]]),(ContinuousStatsTable[GroupByKey]=ContinuousStatsTable[[#This Row],[GroupByKey]])*ContinuousStatsTable[Average]))</f>
        <v>3</v>
      </c>
      <c r="T20">
        <f t="array" ref="T20">MAX(IF((ContinuousStatsTable[GroupByKey]=ContinuousStatsTable[[#This Row],[GroupByKey]]),(ContinuousStatsTable[GroupByKey]=ContinuousStatsTable[[#This Row],[GroupByKey]])*ContinuousStatsTable[Average]))</f>
        <v>3</v>
      </c>
      <c r="U20">
        <f>IF((ContinuousStatsTable[[#This Row],[RepsRequested]]&gt;1),ContinuousStatsTable[[#This Row],[HalfWidth]],ContinuousStatsTable[[#This Row],[BatchMeansHalfWidth]])</f>
        <v>2E+20</v>
      </c>
    </row>
    <row r="21" spans="1:21" x14ac:dyDescent="0.25">
      <c r="A21" t="s">
        <v>67</v>
      </c>
      <c r="B21" t="s">
        <v>69</v>
      </c>
      <c r="C21">
        <v>1</v>
      </c>
      <c r="D21" t="s">
        <v>99</v>
      </c>
      <c r="E21" t="s">
        <v>93</v>
      </c>
      <c r="F21" t="s">
        <v>94</v>
      </c>
      <c r="G21">
        <v>0.88675176100051301</v>
      </c>
      <c r="H21">
        <v>2E+20</v>
      </c>
      <c r="I21">
        <v>0</v>
      </c>
      <c r="J21">
        <v>1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ProjectTech 3Instantaneous UtilizationResource</v>
      </c>
      <c r="N21">
        <f t="array" ref="N21">MAX(IF((ProjectInfoTable[ProjectName]=ContinuousStatsTable[[#This Row],[ProjectName]]),(ProjectInfoTable[ProjectName]=ContinuousStatsTable[[#This Row],[ProjectName]])*ProjectInfoTable[NumberOfReplications]))</f>
        <v>1</v>
      </c>
      <c r="O21">
        <f t="array" ref="O21">IFERROR(AVERAGE(IF((ContinuousStatsTable[GroupByKey]=ContinuousStatsTable[[#This Row],[GroupByKey]]),(ContinuousStatsTable[GroupByKey]=ContinuousStatsTable[[#This Row],[GroupByKey]])*ContinuousStatsTable[Average])),0)</f>
        <v>0.88675176100051301</v>
      </c>
      <c r="P2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1">
        <f t="array" ref="S21">MIN(IF((ContinuousStatsTable[GroupByKey]=ContinuousStatsTable[[#This Row],[GroupByKey]]),(ContinuousStatsTable[GroupByKey]=ContinuousStatsTable[[#This Row],[GroupByKey]])*ContinuousStatsTable[Average]))</f>
        <v>0.88675176100051301</v>
      </c>
      <c r="T21">
        <f t="array" ref="T21">MAX(IF((ContinuousStatsTable[GroupByKey]=ContinuousStatsTable[[#This Row],[GroupByKey]]),(ContinuousStatsTable[GroupByKey]=ContinuousStatsTable[[#This Row],[GroupByKey]])*ContinuousStatsTable[Average]))</f>
        <v>0.88675176100051301</v>
      </c>
      <c r="U21">
        <f>IF((ContinuousStatsTable[[#This Row],[RepsRequested]]&gt;1),ContinuousStatsTable[[#This Row],[HalfWidth]],ContinuousStatsTable[[#This Row],[BatchMeansHalfWidth]])</f>
        <v>2E+20</v>
      </c>
    </row>
    <row r="22" spans="1:21" x14ac:dyDescent="0.25">
      <c r="A22" t="s">
        <v>67</v>
      </c>
      <c r="B22" t="s">
        <v>69</v>
      </c>
      <c r="C22">
        <v>1</v>
      </c>
      <c r="D22" t="s">
        <v>99</v>
      </c>
      <c r="E22" t="s">
        <v>95</v>
      </c>
      <c r="F22" t="s">
        <v>94</v>
      </c>
      <c r="G22">
        <v>2.6602552830015398</v>
      </c>
      <c r="H22">
        <v>2E+20</v>
      </c>
      <c r="I22">
        <v>0</v>
      </c>
      <c r="J22">
        <v>3</v>
      </c>
      <c r="K22">
        <v>0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ProjectTech 3Number BusyResource</v>
      </c>
      <c r="N22">
        <f t="array" ref="N22">MAX(IF((ProjectInfoTable[ProjectName]=ContinuousStatsTable[[#This Row],[ProjectName]]),(ProjectInfoTable[ProjectName]=ContinuousStatsTable[[#This Row],[ProjectName]])*ProjectInfoTable[NumberOfReplications]))</f>
        <v>1</v>
      </c>
      <c r="O22">
        <f t="array" ref="O22">IFERROR(AVERAGE(IF((ContinuousStatsTable[GroupByKey]=ContinuousStatsTable[[#This Row],[GroupByKey]]),(ContinuousStatsTable[GroupByKey]=ContinuousStatsTable[[#This Row],[GroupByKey]])*ContinuousStatsTable[Average])),0)</f>
        <v>2.6602552830015398</v>
      </c>
      <c r="P22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2">
        <f t="array" ref="S22">MIN(IF((ContinuousStatsTable[GroupByKey]=ContinuousStatsTable[[#This Row],[GroupByKey]]),(ContinuousStatsTable[GroupByKey]=ContinuousStatsTable[[#This Row],[GroupByKey]])*ContinuousStatsTable[Average]))</f>
        <v>2.6602552830015398</v>
      </c>
      <c r="T22">
        <f t="array" ref="T22">MAX(IF((ContinuousStatsTable[GroupByKey]=ContinuousStatsTable[[#This Row],[GroupByKey]]),(ContinuousStatsTable[GroupByKey]=ContinuousStatsTable[[#This Row],[GroupByKey]])*ContinuousStatsTable[Average]))</f>
        <v>2.6602552830015398</v>
      </c>
      <c r="U22">
        <f>IF((ContinuousStatsTable[[#This Row],[RepsRequested]]&gt;1),ContinuousStatsTable[[#This Row],[HalfWidth]],ContinuousStatsTable[[#This Row],[BatchMeansHalfWidth]])</f>
        <v>2E+20</v>
      </c>
    </row>
    <row r="23" spans="1:21" x14ac:dyDescent="0.25">
      <c r="A23" t="s">
        <v>67</v>
      </c>
      <c r="B23" t="s">
        <v>69</v>
      </c>
      <c r="C23">
        <v>1</v>
      </c>
      <c r="D23" t="s">
        <v>99</v>
      </c>
      <c r="E23" t="s">
        <v>96</v>
      </c>
      <c r="F23" t="s">
        <v>94</v>
      </c>
      <c r="G23">
        <v>3</v>
      </c>
      <c r="H23">
        <v>2E+20</v>
      </c>
      <c r="I23">
        <v>3</v>
      </c>
      <c r="J23">
        <v>3</v>
      </c>
      <c r="K23">
        <v>3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ProjectTech 3Number ScheduledResource</v>
      </c>
      <c r="N23">
        <f t="array" ref="N23">MAX(IF((ProjectInfoTable[ProjectName]=ContinuousStatsTable[[#This Row],[ProjectName]]),(ProjectInfoTable[ProjectName]=ContinuousStatsTable[[#This Row],[ProjectName]])*ProjectInfoTable[NumberOfReplications]))</f>
        <v>1</v>
      </c>
      <c r="O23">
        <f t="array" ref="O23">IFERROR(AVERAGE(IF((ContinuousStatsTable[GroupByKey]=ContinuousStatsTable[[#This Row],[GroupByKey]]),(ContinuousStatsTable[GroupByKey]=ContinuousStatsTable[[#This Row],[GroupByKey]])*ContinuousStatsTable[Average])),0)</f>
        <v>3</v>
      </c>
      <c r="P23">
        <f t="array" ref="P23">IFERROR(_xlfn.STDEV.S(IF((ContinuousStatsTable[GroupByKey]=ContinuousStatsTable[[#This Row],[GroupByKey]]),(ContinuousStatsTable[GroupByKey]=ContinuousStatsTable[[#This Row],[GroupByKey]])*ContinuousStatsTable[Average])),0)</f>
        <v>0</v>
      </c>
      <c r="Q23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3">
        <f t="array" ref="S23">MIN(IF((ContinuousStatsTable[GroupByKey]=ContinuousStatsTable[[#This Row],[GroupByKey]]),(ContinuousStatsTable[GroupByKey]=ContinuousStatsTable[[#This Row],[GroupByKey]])*ContinuousStatsTable[Average]))</f>
        <v>3</v>
      </c>
      <c r="T23">
        <f t="array" ref="T23">MAX(IF((ContinuousStatsTable[GroupByKey]=ContinuousStatsTable[[#This Row],[GroupByKey]]),(ContinuousStatsTable[GroupByKey]=ContinuousStatsTable[[#This Row],[GroupByKey]])*ContinuousStatsTable[Average]))</f>
        <v>3</v>
      </c>
      <c r="U23">
        <f>IF((ContinuousStatsTable[[#This Row],[RepsRequested]]&gt;1),ContinuousStatsTable[[#This Row],[HalfWidth]],ContinuousStatsTable[[#This Row],[BatchMeansHalfWidth]])</f>
        <v>2E+20</v>
      </c>
    </row>
    <row r="24" spans="1:21" x14ac:dyDescent="0.25">
      <c r="A24" t="s">
        <v>67</v>
      </c>
      <c r="B24" t="s">
        <v>69</v>
      </c>
      <c r="C24">
        <v>1</v>
      </c>
      <c r="D24" t="s">
        <v>88</v>
      </c>
      <c r="E24" t="s">
        <v>89</v>
      </c>
      <c r="F24" t="s">
        <v>72</v>
      </c>
      <c r="G24">
        <v>14.204614083706</v>
      </c>
      <c r="H24">
        <v>3E+20</v>
      </c>
      <c r="I24">
        <v>0</v>
      </c>
      <c r="J24">
        <v>24</v>
      </c>
      <c r="K24">
        <v>0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ProjectTech CallWIPEntity</v>
      </c>
      <c r="N24">
        <f t="array" ref="N24">MAX(IF((ProjectInfoTable[ProjectName]=ContinuousStatsTable[[#This Row],[ProjectName]]),(ProjectInfoTable[ProjectName]=ContinuousStatsTable[[#This Row],[ProjectName]])*ProjectInfoTable[NumberOfReplications]))</f>
        <v>1</v>
      </c>
      <c r="O24">
        <f t="array" ref="O24">IFERROR(AVERAGE(IF((ContinuousStatsTable[GroupByKey]=ContinuousStatsTable[[#This Row],[GroupByKey]]),(ContinuousStatsTable[GroupByKey]=ContinuousStatsTable[[#This Row],[GroupByKey]])*ContinuousStatsTable[Average])),0)</f>
        <v>14.204614083706</v>
      </c>
      <c r="P24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4">
        <f t="array" ref="S24">MIN(IF((ContinuousStatsTable[GroupByKey]=ContinuousStatsTable[[#This Row],[GroupByKey]]),(ContinuousStatsTable[GroupByKey]=ContinuousStatsTable[[#This Row],[GroupByKey]])*ContinuousStatsTable[Average]))</f>
        <v>14.204614083706</v>
      </c>
      <c r="T24">
        <f t="array" ref="T24">MAX(IF((ContinuousStatsTable[GroupByKey]=ContinuousStatsTable[[#This Row],[GroupByKey]]),(ContinuousStatsTable[GroupByKey]=ContinuousStatsTable[[#This Row],[GroupByKey]])*ContinuousStatsTable[Average]))</f>
        <v>14.204614083706</v>
      </c>
      <c r="U24">
        <f>IF((ContinuousStatsTable[[#This Row],[RepsRequested]]&gt;1),ContinuousStatsTable[[#This Row],[HalfWidth]],ContinuousStatsTable[[#This Row],[BatchMeansHalfWidth]])</f>
        <v>3E+20</v>
      </c>
    </row>
    <row r="25" spans="1:21" x14ac:dyDescent="0.25">
      <c r="A25" t="s">
        <v>67</v>
      </c>
      <c r="B25" t="s">
        <v>69</v>
      </c>
      <c r="C25">
        <v>1</v>
      </c>
      <c r="D25" t="s">
        <v>100</v>
      </c>
      <c r="E25" t="s">
        <v>93</v>
      </c>
      <c r="F25" t="s">
        <v>94</v>
      </c>
      <c r="G25">
        <v>0.77552450288652297</v>
      </c>
      <c r="H25">
        <v>3E+20</v>
      </c>
      <c r="I25">
        <v>0</v>
      </c>
      <c r="J25">
        <v>1</v>
      </c>
      <c r="K25">
        <v>0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ProjectTrunk LineInstantaneous UtilizationResource</v>
      </c>
      <c r="N25">
        <f t="array" ref="N25">MAX(IF((ProjectInfoTable[ProjectName]=ContinuousStatsTable[[#This Row],[ProjectName]]),(ProjectInfoTable[ProjectName]=ContinuousStatsTable[[#This Row],[ProjectName]])*ProjectInfoTable[NumberOfReplications]))</f>
        <v>1</v>
      </c>
      <c r="O25">
        <f t="array" ref="O25">IFERROR(AVERAGE(IF((ContinuousStatsTable[GroupByKey]=ContinuousStatsTable[[#This Row],[GroupByKey]]),(ContinuousStatsTable[GroupByKey]=ContinuousStatsTable[[#This Row],[GroupByKey]])*ContinuousStatsTable[Average])),0)</f>
        <v>0.77552450288652297</v>
      </c>
      <c r="P25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5">
        <f t="array" ref="S25">MIN(IF((ContinuousStatsTable[GroupByKey]=ContinuousStatsTable[[#This Row],[GroupByKey]]),(ContinuousStatsTable[GroupByKey]=ContinuousStatsTable[[#This Row],[GroupByKey]])*ContinuousStatsTable[Average]))</f>
        <v>0.77552450288652297</v>
      </c>
      <c r="T25">
        <f t="array" ref="T25">MAX(IF((ContinuousStatsTable[GroupByKey]=ContinuousStatsTable[[#This Row],[GroupByKey]]),(ContinuousStatsTable[GroupByKey]=ContinuousStatsTable[[#This Row],[GroupByKey]])*ContinuousStatsTable[Average]))</f>
        <v>0.77552450288652297</v>
      </c>
      <c r="U25">
        <f>IF((ContinuousStatsTable[[#This Row],[RepsRequested]]&gt;1),ContinuousStatsTable[[#This Row],[HalfWidth]],ContinuousStatsTable[[#This Row],[BatchMeansHalfWidth]])</f>
        <v>3E+20</v>
      </c>
    </row>
    <row r="26" spans="1:21" x14ac:dyDescent="0.25">
      <c r="A26" t="s">
        <v>67</v>
      </c>
      <c r="B26" t="s">
        <v>69</v>
      </c>
      <c r="C26">
        <v>1</v>
      </c>
      <c r="D26" t="s">
        <v>100</v>
      </c>
      <c r="E26" t="s">
        <v>95</v>
      </c>
      <c r="F26" t="s">
        <v>94</v>
      </c>
      <c r="G26">
        <v>20.1636370750496</v>
      </c>
      <c r="H26">
        <v>3E+20</v>
      </c>
      <c r="I26">
        <v>0</v>
      </c>
      <c r="J26">
        <v>26</v>
      </c>
      <c r="K26">
        <v>0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ProjectTrunk LineNumber BusyResource</v>
      </c>
      <c r="N26">
        <f t="array" ref="N26">MAX(IF((ProjectInfoTable[ProjectName]=ContinuousStatsTable[[#This Row],[ProjectName]]),(ProjectInfoTable[ProjectName]=ContinuousStatsTable[[#This Row],[ProjectName]])*ProjectInfoTable[NumberOfReplications]))</f>
        <v>1</v>
      </c>
      <c r="O26">
        <f t="array" ref="O26">IFERROR(AVERAGE(IF((ContinuousStatsTable[GroupByKey]=ContinuousStatsTable[[#This Row],[GroupByKey]]),(ContinuousStatsTable[GroupByKey]=ContinuousStatsTable[[#This Row],[GroupByKey]])*ContinuousStatsTable[Average])),0)</f>
        <v>20.1636370750496</v>
      </c>
      <c r="P26">
        <f t="array" ref="P26">IFERROR(_xlfn.STDEV.S(IF((ContinuousStatsTable[GroupByKey]=ContinuousStatsTable[[#This Row],[GroupByKey]]),(ContinuousStatsTable[GroupByKey]=ContinuousStatsTable[[#This Row],[GroupByKey]])*ContinuousStatsTable[Average])),0)</f>
        <v>0</v>
      </c>
      <c r="Q26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6">
        <f t="array" ref="S26">MIN(IF((ContinuousStatsTable[GroupByKey]=ContinuousStatsTable[[#This Row],[GroupByKey]]),(ContinuousStatsTable[GroupByKey]=ContinuousStatsTable[[#This Row],[GroupByKey]])*ContinuousStatsTable[Average]))</f>
        <v>20.1636370750496</v>
      </c>
      <c r="T26">
        <f t="array" ref="T26">MAX(IF((ContinuousStatsTable[GroupByKey]=ContinuousStatsTable[[#This Row],[GroupByKey]]),(ContinuousStatsTable[GroupByKey]=ContinuousStatsTable[[#This Row],[GroupByKey]])*ContinuousStatsTable[Average]))</f>
        <v>20.1636370750496</v>
      </c>
      <c r="U26">
        <f>IF((ContinuousStatsTable[[#This Row],[RepsRequested]]&gt;1),ContinuousStatsTable[[#This Row],[HalfWidth]],ContinuousStatsTable[[#This Row],[BatchMeansHalfWidth]])</f>
        <v>3E+20</v>
      </c>
    </row>
    <row r="27" spans="1:21" x14ac:dyDescent="0.25">
      <c r="A27" t="s">
        <v>67</v>
      </c>
      <c r="B27" t="s">
        <v>69</v>
      </c>
      <c r="C27">
        <v>1</v>
      </c>
      <c r="D27" t="s">
        <v>100</v>
      </c>
      <c r="E27" t="s">
        <v>96</v>
      </c>
      <c r="F27" t="s">
        <v>94</v>
      </c>
      <c r="G27">
        <v>26</v>
      </c>
      <c r="H27">
        <v>2E+20</v>
      </c>
      <c r="I27">
        <v>26</v>
      </c>
      <c r="J27">
        <v>26</v>
      </c>
      <c r="K27">
        <v>26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ProjectTrunk LineNumber ScheduledResource</v>
      </c>
      <c r="N27">
        <f t="array" ref="N27">MAX(IF((ProjectInfoTable[ProjectName]=ContinuousStatsTable[[#This Row],[ProjectName]]),(ProjectInfoTable[ProjectName]=ContinuousStatsTable[[#This Row],[ProjectName]])*ProjectInfoTable[NumberOfReplications]))</f>
        <v>1</v>
      </c>
      <c r="O27">
        <f t="array" ref="O27">IFERROR(AVERAGE(IF((ContinuousStatsTable[GroupByKey]=ContinuousStatsTable[[#This Row],[GroupByKey]]),(ContinuousStatsTable[GroupByKey]=ContinuousStatsTable[[#This Row],[GroupByKey]])*ContinuousStatsTable[Average])),0)</f>
        <v>26</v>
      </c>
      <c r="P27">
        <f t="array" ref="P27">IFERROR(_xlfn.STDEV.S(IF((ContinuousStatsTable[GroupByKey]=ContinuousStatsTable[[#This Row],[GroupByKey]]),(ContinuousStatsTable[GroupByKey]=ContinuousStatsTable[[#This Row],[GroupByKey]])*ContinuousStatsTable[Average])),0)</f>
        <v>0</v>
      </c>
      <c r="Q27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7">
        <f t="array" ref="S27">MIN(IF((ContinuousStatsTable[GroupByKey]=ContinuousStatsTable[[#This Row],[GroupByKey]]),(ContinuousStatsTable[GroupByKey]=ContinuousStatsTable[[#This Row],[GroupByKey]])*ContinuousStatsTable[Average]))</f>
        <v>26</v>
      </c>
      <c r="T27">
        <f t="array" ref="T27">MAX(IF((ContinuousStatsTable[GroupByKey]=ContinuousStatsTable[[#This Row],[GroupByKey]]),(ContinuousStatsTable[GroupByKey]=ContinuousStatsTable[[#This Row],[GroupByKey]])*ContinuousStatsTable[Average]))</f>
        <v>26</v>
      </c>
      <c r="U27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27">
    <cfRule type="expression" dxfId="10" priority="9">
      <formula>H2=200000000000000000000</formula>
    </cfRule>
  </conditionalFormatting>
  <conditionalFormatting sqref="H2:H27">
    <cfRule type="expression" dxfId="9" priority="7">
      <formula>H2=300000000000000000000</formula>
    </cfRule>
  </conditionalFormatting>
  <conditionalFormatting sqref="M2:U27">
    <cfRule type="expression" dxfId="8" priority="5">
      <formula>MOD(ROW(),2)=0</formula>
    </cfRule>
  </conditionalFormatting>
  <conditionalFormatting sqref="U2:U27">
    <cfRule type="expression" dxfId="7" priority="3">
      <formula>U2=200000000000000000000</formula>
    </cfRule>
    <cfRule type="expression" dxfId="6" priority="4">
      <formula>U2=300000000000000000000</formula>
    </cfRule>
  </conditionalFormatting>
  <conditionalFormatting sqref="R2:R27 U2:U27">
    <cfRule type="expression" dxfId="5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4"/>
  <sheetViews>
    <sheetView workbookViewId="0">
      <selection activeCell="G2" sqref="G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5.5703125" bestFit="1" customWidth="1"/>
    <col min="5" max="5" width="7.5703125" bestFit="1" customWidth="1"/>
    <col min="6" max="6" width="13.85546875" bestFit="1" customWidth="1"/>
    <col min="7" max="7" width="17" bestFit="1" customWidth="1"/>
    <col min="8" max="8" width="50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25">
      <c r="A2" t="s">
        <v>67</v>
      </c>
      <c r="B2" t="s">
        <v>69</v>
      </c>
      <c r="C2">
        <v>1</v>
      </c>
      <c r="D2" t="s">
        <v>101</v>
      </c>
      <c r="E2" t="s">
        <v>102</v>
      </c>
      <c r="F2" t="s">
        <v>103</v>
      </c>
      <c r="G2">
        <v>734</v>
      </c>
      <c r="H2" t="str">
        <f>CountersTable[[#This Row],[ProjectName]]&amp;CountersTable[[#This Row],[Name]]&amp;CountersTable[[#This Row],[Type]]&amp;CountersTable[[#This Row],[Source]]</f>
        <v>Unnamed ProjectAttempted CallsCountUser Specified</v>
      </c>
      <c r="I2">
        <f t="array" ref="I2">MAX(IF((ProjectInfoTable[ProjectName]=CountersTable[[#This Row],[ProjectName]]),(ProjectInfoTable[ProjectName]=CountersTable[[#This Row],[ProjectName]])*ProjectInfoTable[NumberOfReplications]))</f>
        <v>1</v>
      </c>
      <c r="J2">
        <f t="array" ref="J2">IFERROR(AVERAGE(IF((CountersTable[GroupByKey]=CountersTable[[#This Row],[GroupByKey]]),(CountersTable[GroupByKey]=CountersTable[[#This Row],[GroupByKey]])*CountersTable[RecordedValue])),0)</f>
        <v>734</v>
      </c>
      <c r="K2">
        <f t="array" ref="K2">IFERROR(_xlfn.STDEV.S(IF((CountersTable[GroupByKey]=CountersTable[[#This Row],[GroupByKey]]),(CountersTable[GroupByKey]=CountersTable[[#This Row],[GroupByKey]])*CountersTable[RecordedValue])),0)</f>
        <v>0</v>
      </c>
      <c r="L2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4E+20</v>
      </c>
      <c r="N2">
        <f t="array" ref="N2">MIN(IF((CountersTable[GroupByKey]=CountersTable[[#This Row],[GroupByKey]]),(CountersTable[GroupByKey]=CountersTable[[#This Row],[GroupByKey]])*CountersTable[RecordedValue]))</f>
        <v>734</v>
      </c>
      <c r="O2">
        <f t="array" ref="O2">MAX(IF((CountersTable[GroupByKey]=CountersTable[[#This Row],[GroupByKey]]),(CountersTable[GroupByKey]=CountersTable[[#This Row],[GroupByKey]])*CountersTable[RecordedValue]))</f>
        <v>734</v>
      </c>
    </row>
    <row r="3" spans="1:15" x14ac:dyDescent="0.25">
      <c r="A3" t="s">
        <v>67</v>
      </c>
      <c r="B3" t="s">
        <v>69</v>
      </c>
      <c r="C3">
        <v>1</v>
      </c>
      <c r="D3" t="s">
        <v>104</v>
      </c>
      <c r="E3" t="s">
        <v>102</v>
      </c>
      <c r="F3" t="s">
        <v>103</v>
      </c>
      <c r="G3">
        <v>643</v>
      </c>
      <c r="H3" t="str">
        <f>CountersTable[[#This Row],[ProjectName]]&amp;CountersTable[[#This Row],[Name]]&amp;CountersTable[[#This Row],[Type]]&amp;CountersTable[[#This Row],[Source]]</f>
        <v>Unnamed ProjectCompleted CallsCountUser Specified</v>
      </c>
      <c r="I3">
        <f t="array" ref="I3">MAX(IF((ProjectInfoTable[ProjectName]=CountersTable[[#This Row],[ProjectName]]),(ProjectInfoTable[ProjectName]=CountersTable[[#This Row],[ProjectName]])*ProjectInfoTable[NumberOfReplications]))</f>
        <v>1</v>
      </c>
      <c r="J3">
        <f t="array" ref="J3">IFERROR(AVERAGE(IF((CountersTable[GroupByKey]=CountersTable[[#This Row],[GroupByKey]]),(CountersTable[GroupByKey]=CountersTable[[#This Row],[GroupByKey]])*CountersTable[RecordedValue])),0)</f>
        <v>643</v>
      </c>
      <c r="K3">
        <f t="array" ref="K3">IFERROR(_xlfn.STDEV.S(IF((CountersTable[GroupByKey]=CountersTable[[#This Row],[GroupByKey]]),(CountersTable[GroupByKey]=CountersTable[[#This Row],[GroupByKey]])*CountersTable[RecordedValue])),0)</f>
        <v>0</v>
      </c>
      <c r="L3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4E+20</v>
      </c>
      <c r="N3">
        <f t="array" ref="N3">MIN(IF((CountersTable[GroupByKey]=CountersTable[[#This Row],[GroupByKey]]),(CountersTable[GroupByKey]=CountersTable[[#This Row],[GroupByKey]])*CountersTable[RecordedValue]))</f>
        <v>643</v>
      </c>
      <c r="O3">
        <f t="array" ref="O3">MAX(IF((CountersTable[GroupByKey]=CountersTable[[#This Row],[GroupByKey]]),(CountersTable[GroupByKey]=CountersTable[[#This Row],[GroupByKey]])*CountersTable[RecordedValue]))</f>
        <v>643</v>
      </c>
    </row>
    <row r="4" spans="1:15" x14ac:dyDescent="0.25">
      <c r="A4" t="s">
        <v>67</v>
      </c>
      <c r="B4" t="s">
        <v>69</v>
      </c>
      <c r="C4">
        <v>1</v>
      </c>
      <c r="D4" t="s">
        <v>105</v>
      </c>
      <c r="E4" t="s">
        <v>102</v>
      </c>
      <c r="F4" t="s">
        <v>103</v>
      </c>
      <c r="G4">
        <v>91</v>
      </c>
      <c r="H4" t="str">
        <f>CountersTable[[#This Row],[ProjectName]]&amp;CountersTable[[#This Row],[Name]]&amp;CountersTable[[#This Row],[Type]]&amp;CountersTable[[#This Row],[Source]]</f>
        <v>Unnamed ProjectRejected CallCountUser Specified</v>
      </c>
      <c r="I4">
        <f t="array" ref="I4">MAX(IF((ProjectInfoTable[ProjectName]=CountersTable[[#This Row],[ProjectName]]),(ProjectInfoTable[ProjectName]=CountersTable[[#This Row],[ProjectName]])*ProjectInfoTable[NumberOfReplications]))</f>
        <v>1</v>
      </c>
      <c r="J4">
        <f t="array" ref="J4">IFERROR(AVERAGE(IF((CountersTable[GroupByKey]=CountersTable[[#This Row],[GroupByKey]]),(CountersTable[GroupByKey]=CountersTable[[#This Row],[GroupByKey]])*CountersTable[RecordedValue])),0)</f>
        <v>91</v>
      </c>
      <c r="K4">
        <f t="array" ref="K4">IFERROR(_xlfn.STDEV.S(IF((CountersTable[GroupByKey]=CountersTable[[#This Row],[GroupByKey]]),(CountersTable[GroupByKey]=CountersTable[[#This Row],[GroupByKey]])*CountersTable[RecordedValue])),0)</f>
        <v>0</v>
      </c>
      <c r="L4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4E+20</v>
      </c>
      <c r="N4">
        <f t="array" ref="N4">MIN(IF((CountersTable[GroupByKey]=CountersTable[[#This Row],[GroupByKey]]),(CountersTable[GroupByKey]=CountersTable[[#This Row],[GroupByKey]])*CountersTable[RecordedValue]))</f>
        <v>91</v>
      </c>
      <c r="O4">
        <f t="array" ref="O4">MAX(IF((CountersTable[GroupByKey]=CountersTable[[#This Row],[GroupByKey]]),(CountersTable[GroupByKey]=CountersTable[[#This Row],[GroupByKey]])*CountersTable[RecordedValue]))</f>
        <v>91</v>
      </c>
    </row>
  </sheetData>
  <phoneticPr fontId="2" type="noConversion"/>
  <conditionalFormatting sqref="H2:O4">
    <cfRule type="expression" dxfId="4" priority="2">
      <formula>MOD(ROW(),2)=0</formula>
    </cfRule>
  </conditionalFormatting>
  <conditionalFormatting sqref="M2:M4">
    <cfRule type="expression" dxfId="3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2"/>
  <sheetViews>
    <sheetView workbookViewId="0">
      <selection activeCell="H2" sqref="H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9.8554687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73.5703125" bestFit="1" customWidth="1"/>
    <col min="10" max="10" width="17.28515625" bestFit="1" customWidth="1"/>
    <col min="11" max="11" width="12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69</v>
      </c>
      <c r="C2">
        <v>1</v>
      </c>
      <c r="D2" t="s">
        <v>106</v>
      </c>
      <c r="E2" t="s">
        <v>107</v>
      </c>
      <c r="F2" t="s">
        <v>72</v>
      </c>
      <c r="G2">
        <v>1</v>
      </c>
      <c r="H2">
        <v>0</v>
      </c>
      <c r="I2" t="str">
        <f>OutputTable[[#This Row],[ProjectName]]&amp;OutputTable[[#This Row],[Name]]&amp;OutputTable[[#This Row],[Type]]&amp;OutputTable[[#This Row],[Source]]</f>
        <v>Unnamed ProjectEntity 1.NumberInNumber InEntity</v>
      </c>
      <c r="J2">
        <f t="array" ref="J2">MAX(IF((ProjectInfoTable[ProjectName]=OutputTable[[#This Row],[ProjectName]]),(ProjectInfoTable[ProjectName]=OutputTable[[#This Row],[ProjectName]])*ProjectInfoTable[NumberOfReplications]))</f>
        <v>1</v>
      </c>
      <c r="K2">
        <f t="array" ref="K2">IFERROR(AVERAGE(IF((OutputTable[GroupByKey]=OutputTable[[#This Row],[GroupByKey]]),(OutputTable[GroupByKey]=OutputTable[[#This Row],[GroupByKey]])*OutputTable[RecordedValue])),0)</f>
        <v>1</v>
      </c>
      <c r="L2">
        <f t="array" ref="L2">IFERROR(_xlfn.STDEV.S(IF((OutputTable[GroupByKey]=OutputTable[[#This Row],[GroupByKey]]),(OutputTable[GroupByKey]=OutputTable[[#This Row],[GroupByKey]])*OutputTable[RecordedValue])),0)</f>
        <v>0</v>
      </c>
      <c r="M2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>
        <f t="array" ref="O2">MIN(IF((OutputTable[GroupByKey]=OutputTable[[#This Row],[GroupByKey]]),(OutputTable[GroupByKey]=OutputTable[[#This Row],[GroupByKey]])*OutputTable[RecordedValue]))</f>
        <v>1</v>
      </c>
      <c r="P2">
        <f t="array" ref="P2">MAX(IF((OutputTable[GroupByKey]=OutputTable[[#This Row],[GroupByKey]]),(OutputTable[GroupByKey]=OutputTable[[#This Row],[GroupByKey]])*OutputTable[RecordedValue]))</f>
        <v>1</v>
      </c>
    </row>
    <row r="3" spans="1:16" x14ac:dyDescent="0.25">
      <c r="A3" t="s">
        <v>67</v>
      </c>
      <c r="B3" t="s">
        <v>69</v>
      </c>
      <c r="C3">
        <v>1</v>
      </c>
      <c r="D3" t="s">
        <v>108</v>
      </c>
      <c r="E3" t="s">
        <v>109</v>
      </c>
      <c r="F3" t="s">
        <v>72</v>
      </c>
      <c r="G3">
        <v>1</v>
      </c>
      <c r="H3">
        <v>0</v>
      </c>
      <c r="I3" t="str">
        <f>OutputTable[[#This Row],[ProjectName]]&amp;OutputTable[[#This Row],[Name]]&amp;OutputTable[[#This Row],[Type]]&amp;OutputTable[[#This Row],[Source]]</f>
        <v>Unnamed ProjectEntity 1.NumberOutNumber OutEntity</v>
      </c>
      <c r="J3">
        <f t="array" ref="J3">MAX(IF((ProjectInfoTable[ProjectName]=OutputTable[[#This Row],[ProjectName]]),(ProjectInfoTable[ProjectName]=OutputTable[[#This Row],[ProjectName]])*ProjectInfoTable[NumberOfReplications]))</f>
        <v>1</v>
      </c>
      <c r="K3">
        <f t="array" ref="K3">IFERROR(AVERAGE(IF((OutputTable[GroupByKey]=OutputTable[[#This Row],[GroupByKey]]),(OutputTable[GroupByKey]=OutputTable[[#This Row],[GroupByKey]])*OutputTable[RecordedValue])),0)</f>
        <v>1</v>
      </c>
      <c r="L3">
        <f t="array" ref="L3">IFERROR(_xlfn.STDEV.S(IF((OutputTable[GroupByKey]=OutputTable[[#This Row],[GroupByKey]]),(OutputTable[GroupByKey]=OutputTable[[#This Row],[GroupByKey]])*OutputTable[RecordedValue])),0)</f>
        <v>0</v>
      </c>
      <c r="M3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>
        <f t="array" ref="O3">MIN(IF((OutputTable[GroupByKey]=OutputTable[[#This Row],[GroupByKey]]),(OutputTable[GroupByKey]=OutputTable[[#This Row],[GroupByKey]])*OutputTable[RecordedValue]))</f>
        <v>1</v>
      </c>
      <c r="P3">
        <f t="array" ref="P3">MAX(IF((OutputTable[GroupByKey]=OutputTable[[#This Row],[GroupByKey]]),(OutputTable[GroupByKey]=OutputTable[[#This Row],[GroupByKey]])*OutputTable[RecordedValue]))</f>
        <v>1</v>
      </c>
    </row>
    <row r="4" spans="1:16" x14ac:dyDescent="0.25">
      <c r="A4" t="s">
        <v>67</v>
      </c>
      <c r="B4" t="s">
        <v>69</v>
      </c>
      <c r="C4">
        <v>1</v>
      </c>
      <c r="D4" t="s">
        <v>110</v>
      </c>
      <c r="E4" t="s">
        <v>107</v>
      </c>
      <c r="F4" t="s">
        <v>72</v>
      </c>
      <c r="G4">
        <v>735</v>
      </c>
      <c r="H4">
        <v>0</v>
      </c>
      <c r="I4" t="str">
        <f>OutputTable[[#This Row],[ProjectName]]&amp;OutputTable[[#This Row],[Name]]&amp;OutputTable[[#This Row],[Type]]&amp;OutputTable[[#This Row],[Source]]</f>
        <v>Unnamed ProjectIncoming Call.NumberInNumber InEntity</v>
      </c>
      <c r="J4">
        <f t="array" ref="J4">MAX(IF((ProjectInfoTable[ProjectName]=OutputTable[[#This Row],[ProjectName]]),(ProjectInfoTable[ProjectName]=OutputTable[[#This Row],[ProjectName]])*ProjectInfoTable[NumberOfReplications]))</f>
        <v>1</v>
      </c>
      <c r="K4">
        <f t="array" ref="K4">IFERROR(AVERAGE(IF((OutputTable[GroupByKey]=OutputTable[[#This Row],[GroupByKey]]),(OutputTable[GroupByKey]=OutputTable[[#This Row],[GroupByKey]])*OutputTable[RecordedValue])),0)</f>
        <v>735</v>
      </c>
      <c r="L4">
        <f t="array" ref="L4">IFERROR(_xlfn.STDEV.S(IF((OutputTable[GroupByKey]=OutputTable[[#This Row],[GroupByKey]]),(OutputTable[GroupByKey]=OutputTable[[#This Row],[GroupByKey]])*OutputTable[RecordedValue])),0)</f>
        <v>0</v>
      </c>
      <c r="M4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>
        <f t="array" ref="O4">MIN(IF((OutputTable[GroupByKey]=OutputTable[[#This Row],[GroupByKey]]),(OutputTable[GroupByKey]=OutputTable[[#This Row],[GroupByKey]])*OutputTable[RecordedValue]))</f>
        <v>735</v>
      </c>
      <c r="P4">
        <f t="array" ref="P4">MAX(IF((OutputTable[GroupByKey]=OutputTable[[#This Row],[GroupByKey]]),(OutputTable[GroupByKey]=OutputTable[[#This Row],[GroupByKey]])*OutputTable[RecordedValue]))</f>
        <v>735</v>
      </c>
    </row>
    <row r="5" spans="1:16" x14ac:dyDescent="0.25">
      <c r="A5" t="s">
        <v>67</v>
      </c>
      <c r="B5" t="s">
        <v>69</v>
      </c>
      <c r="C5">
        <v>1</v>
      </c>
      <c r="D5" t="s">
        <v>111</v>
      </c>
      <c r="E5" t="s">
        <v>109</v>
      </c>
      <c r="F5" t="s">
        <v>72</v>
      </c>
      <c r="G5">
        <v>735</v>
      </c>
      <c r="H5">
        <v>0</v>
      </c>
      <c r="I5" t="str">
        <f>OutputTable[[#This Row],[ProjectName]]&amp;OutputTable[[#This Row],[Name]]&amp;OutputTable[[#This Row],[Type]]&amp;OutputTable[[#This Row],[Source]]</f>
        <v>Unnamed ProjectIncoming Call.NumberOutNumber OutEntity</v>
      </c>
      <c r="J5">
        <f t="array" ref="J5">MAX(IF((ProjectInfoTable[ProjectName]=OutputTable[[#This Row],[ProjectName]]),(ProjectInfoTable[ProjectName]=OutputTable[[#This Row],[ProjectName]])*ProjectInfoTable[NumberOfReplications]))</f>
        <v>1</v>
      </c>
      <c r="K5">
        <f t="array" ref="K5">IFERROR(AVERAGE(IF((OutputTable[GroupByKey]=OutputTable[[#This Row],[GroupByKey]]),(OutputTable[GroupByKey]=OutputTable[[#This Row],[GroupByKey]])*OutputTable[RecordedValue])),0)</f>
        <v>735</v>
      </c>
      <c r="L5">
        <f t="array" ref="L5">IFERROR(_xlfn.STDEV.S(IF((OutputTable[GroupByKey]=OutputTable[[#This Row],[GroupByKey]]),(OutputTable[GroupByKey]=OutputTable[[#This Row],[GroupByKey]])*OutputTable[RecordedValue])),0)</f>
        <v>0</v>
      </c>
      <c r="M5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>
        <f t="array" ref="O5">MIN(IF((OutputTable[GroupByKey]=OutputTable[[#This Row],[GroupByKey]]),(OutputTable[GroupByKey]=OutputTable[[#This Row],[GroupByKey]])*OutputTable[RecordedValue]))</f>
        <v>735</v>
      </c>
      <c r="P5">
        <f t="array" ref="P5">MAX(IF((OutputTable[GroupByKey]=OutputTable[[#This Row],[GroupByKey]]),(OutputTable[GroupByKey]=OutputTable[[#This Row],[GroupByKey]])*OutputTable[RecordedValue]))</f>
        <v>735</v>
      </c>
    </row>
    <row r="6" spans="1:16" x14ac:dyDescent="0.25">
      <c r="A6" t="s">
        <v>67</v>
      </c>
      <c r="B6" t="s">
        <v>69</v>
      </c>
      <c r="C6">
        <v>1</v>
      </c>
      <c r="D6" t="s">
        <v>112</v>
      </c>
      <c r="E6" t="s">
        <v>107</v>
      </c>
      <c r="F6" t="s">
        <v>72</v>
      </c>
      <c r="G6">
        <v>51</v>
      </c>
      <c r="H6">
        <v>0</v>
      </c>
      <c r="I6" t="str">
        <f>OutputTable[[#This Row],[ProjectName]]&amp;OutputTable[[#This Row],[Name]]&amp;OutputTable[[#This Row],[Type]]&amp;OutputTable[[#This Row],[Source]]</f>
        <v>Unnamed ProjectOrder Status Call.NumberInNumber InEntity</v>
      </c>
      <c r="J6">
        <f t="array" ref="J6">MAX(IF((ProjectInfoTable[ProjectName]=OutputTable[[#This Row],[ProjectName]]),(ProjectInfoTable[ProjectName]=OutputTable[[#This Row],[ProjectName]])*ProjectInfoTable[NumberOfReplications]))</f>
        <v>1</v>
      </c>
      <c r="K6">
        <f t="array" ref="K6">IFERROR(AVERAGE(IF((OutputTable[GroupByKey]=OutputTable[[#This Row],[GroupByKey]]),(OutputTable[GroupByKey]=OutputTable[[#This Row],[GroupByKey]])*OutputTable[RecordedValue])),0)</f>
        <v>51</v>
      </c>
      <c r="L6">
        <f t="array" ref="L6">IFERROR(_xlfn.STDEV.S(IF((OutputTable[GroupByKey]=OutputTable[[#This Row],[GroupByKey]]),(OutputTable[GroupByKey]=OutputTable[[#This Row],[GroupByKey]])*OutputTable[RecordedValue])),0)</f>
        <v>0</v>
      </c>
      <c r="M6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>
        <f t="array" ref="O6">MIN(IF((OutputTable[GroupByKey]=OutputTable[[#This Row],[GroupByKey]]),(OutputTable[GroupByKey]=OutputTable[[#This Row],[GroupByKey]])*OutputTable[RecordedValue]))</f>
        <v>51</v>
      </c>
      <c r="P6">
        <f t="array" ref="P6">MAX(IF((OutputTable[GroupByKey]=OutputTable[[#This Row],[GroupByKey]]),(OutputTable[GroupByKey]=OutputTable[[#This Row],[GroupByKey]])*OutputTable[RecordedValue]))</f>
        <v>51</v>
      </c>
    </row>
    <row r="7" spans="1:16" x14ac:dyDescent="0.25">
      <c r="A7" t="s">
        <v>67</v>
      </c>
      <c r="B7" t="s">
        <v>69</v>
      </c>
      <c r="C7">
        <v>1</v>
      </c>
      <c r="D7" t="s">
        <v>113</v>
      </c>
      <c r="E7" t="s">
        <v>109</v>
      </c>
      <c r="F7" t="s">
        <v>72</v>
      </c>
      <c r="G7">
        <v>51</v>
      </c>
      <c r="H7">
        <v>0</v>
      </c>
      <c r="I7" t="str">
        <f>OutputTable[[#This Row],[ProjectName]]&amp;OutputTable[[#This Row],[Name]]&amp;OutputTable[[#This Row],[Type]]&amp;OutputTable[[#This Row],[Source]]</f>
        <v>Unnamed ProjectOrder Status Call.NumberOutNumber OutEntity</v>
      </c>
      <c r="J7">
        <f t="array" ref="J7">MAX(IF((ProjectInfoTable[ProjectName]=OutputTable[[#This Row],[ProjectName]]),(ProjectInfoTable[ProjectName]=OutputTable[[#This Row],[ProjectName]])*ProjectInfoTable[NumberOfReplications]))</f>
        <v>1</v>
      </c>
      <c r="K7">
        <f t="array" ref="K7">IFERROR(AVERAGE(IF((OutputTable[GroupByKey]=OutputTable[[#This Row],[GroupByKey]]),(OutputTable[GroupByKey]=OutputTable[[#This Row],[GroupByKey]])*OutputTable[RecordedValue])),0)</f>
        <v>51</v>
      </c>
      <c r="L7">
        <f t="array" ref="L7">IFERROR(_xlfn.STDEV.S(IF((OutputTable[GroupByKey]=OutputTable[[#This Row],[GroupByKey]]),(OutputTable[GroupByKey]=OutputTable[[#This Row],[GroupByKey]])*OutputTable[RecordedValue])),0)</f>
        <v>0</v>
      </c>
      <c r="M7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>
        <f t="array" ref="O7">MIN(IF((OutputTable[GroupByKey]=OutputTable[[#This Row],[GroupByKey]]),(OutputTable[GroupByKey]=OutputTable[[#This Row],[GroupByKey]])*OutputTable[RecordedValue]))</f>
        <v>51</v>
      </c>
      <c r="P7">
        <f t="array" ref="P7">MAX(IF((OutputTable[GroupByKey]=OutputTable[[#This Row],[GroupByKey]]),(OutputTable[GroupByKey]=OutputTable[[#This Row],[GroupByKey]])*OutputTable[RecordedValue]))</f>
        <v>51</v>
      </c>
    </row>
    <row r="8" spans="1:16" x14ac:dyDescent="0.25">
      <c r="A8" t="s">
        <v>67</v>
      </c>
      <c r="B8" t="s">
        <v>69</v>
      </c>
      <c r="C8">
        <v>1</v>
      </c>
      <c r="D8" t="s">
        <v>114</v>
      </c>
      <c r="E8" t="s">
        <v>107</v>
      </c>
      <c r="F8" t="s">
        <v>72</v>
      </c>
      <c r="G8">
        <v>100</v>
      </c>
      <c r="H8">
        <v>0</v>
      </c>
      <c r="I8" t="str">
        <f>OutputTable[[#This Row],[ProjectName]]&amp;OutputTable[[#This Row],[Name]]&amp;OutputTable[[#This Row],[Type]]&amp;OutputTable[[#This Row],[Source]]</f>
        <v>Unnamed ProjectSales Call.NumberInNumber InEntity</v>
      </c>
      <c r="J8">
        <f t="array" ref="J8">MAX(IF((ProjectInfoTable[ProjectName]=OutputTable[[#This Row],[ProjectName]]),(ProjectInfoTable[ProjectName]=OutputTable[[#This Row],[ProjectName]])*ProjectInfoTable[NumberOfReplications]))</f>
        <v>1</v>
      </c>
      <c r="K8">
        <f t="array" ref="K8">IFERROR(AVERAGE(IF((OutputTable[GroupByKey]=OutputTable[[#This Row],[GroupByKey]]),(OutputTable[GroupByKey]=OutputTable[[#This Row],[GroupByKey]])*OutputTable[RecordedValue])),0)</f>
        <v>100</v>
      </c>
      <c r="L8">
        <f t="array" ref="L8">IFERROR(_xlfn.STDEV.S(IF((OutputTable[GroupByKey]=OutputTable[[#This Row],[GroupByKey]]),(OutputTable[GroupByKey]=OutputTable[[#This Row],[GroupByKey]])*OutputTable[RecordedValue])),0)</f>
        <v>0</v>
      </c>
      <c r="M8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>
        <f t="array" ref="O8">MIN(IF((OutputTable[GroupByKey]=OutputTable[[#This Row],[GroupByKey]]),(OutputTable[GroupByKey]=OutputTable[[#This Row],[GroupByKey]])*OutputTable[RecordedValue]))</f>
        <v>100</v>
      </c>
      <c r="P8">
        <f t="array" ref="P8">MAX(IF((OutputTable[GroupByKey]=OutputTable[[#This Row],[GroupByKey]]),(OutputTable[GroupByKey]=OutputTable[[#This Row],[GroupByKey]])*OutputTable[RecordedValue]))</f>
        <v>100</v>
      </c>
    </row>
    <row r="9" spans="1:16" x14ac:dyDescent="0.25">
      <c r="A9" t="s">
        <v>67</v>
      </c>
      <c r="B9" t="s">
        <v>69</v>
      </c>
      <c r="C9">
        <v>1</v>
      </c>
      <c r="D9" t="s">
        <v>115</v>
      </c>
      <c r="E9" t="s">
        <v>109</v>
      </c>
      <c r="F9" t="s">
        <v>72</v>
      </c>
      <c r="G9">
        <v>100</v>
      </c>
      <c r="H9">
        <v>0</v>
      </c>
      <c r="I9" t="str">
        <f>OutputTable[[#This Row],[ProjectName]]&amp;OutputTable[[#This Row],[Name]]&amp;OutputTable[[#This Row],[Type]]&amp;OutputTable[[#This Row],[Source]]</f>
        <v>Unnamed ProjectSales Call.NumberOutNumber OutEntity</v>
      </c>
      <c r="J9">
        <f t="array" ref="J9">MAX(IF((ProjectInfoTable[ProjectName]=OutputTable[[#This Row],[ProjectName]]),(ProjectInfoTable[ProjectName]=OutputTable[[#This Row],[ProjectName]])*ProjectInfoTable[NumberOfReplications]))</f>
        <v>1</v>
      </c>
      <c r="K9">
        <f t="array" ref="K9">IFERROR(AVERAGE(IF((OutputTable[GroupByKey]=OutputTable[[#This Row],[GroupByKey]]),(OutputTable[GroupByKey]=OutputTable[[#This Row],[GroupByKey]])*OutputTable[RecordedValue])),0)</f>
        <v>100</v>
      </c>
      <c r="L9">
        <f t="array" ref="L9">IFERROR(_xlfn.STDEV.S(IF((OutputTable[GroupByKey]=OutputTable[[#This Row],[GroupByKey]]),(OutputTable[GroupByKey]=OutputTable[[#This Row],[GroupByKey]])*OutputTable[RecordedValue])),0)</f>
        <v>0</v>
      </c>
      <c r="M9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>
        <f t="array" ref="O9">MIN(IF((OutputTable[GroupByKey]=OutputTable[[#This Row],[GroupByKey]]),(OutputTable[GroupByKey]=OutputTable[[#This Row],[GroupByKey]])*OutputTable[RecordedValue]))</f>
        <v>100</v>
      </c>
      <c r="P9">
        <f t="array" ref="P9">MAX(IF((OutputTable[GroupByKey]=OutputTable[[#This Row],[GroupByKey]]),(OutputTable[GroupByKey]=OutputTable[[#This Row],[GroupByKey]])*OutputTable[RecordedValue]))</f>
        <v>100</v>
      </c>
    </row>
    <row r="10" spans="1:16" x14ac:dyDescent="0.25">
      <c r="A10" t="s">
        <v>67</v>
      </c>
      <c r="B10" t="s">
        <v>69</v>
      </c>
      <c r="C10">
        <v>1</v>
      </c>
      <c r="D10" t="s">
        <v>116</v>
      </c>
      <c r="E10" t="s">
        <v>117</v>
      </c>
      <c r="F10" t="s">
        <v>94</v>
      </c>
      <c r="G10">
        <v>106</v>
      </c>
      <c r="H10">
        <v>0</v>
      </c>
      <c r="I10" t="str">
        <f>OutputTable[[#This Row],[ProjectName]]&amp;OutputTable[[#This Row],[Name]]&amp;OutputTable[[#This Row],[Type]]&amp;OutputTable[[#This Row],[Source]]</f>
        <v>Unnamed ProjectSales.NumberSeizedTotal Number SeizedResource</v>
      </c>
      <c r="J10">
        <f t="array" ref="J10">MAX(IF((ProjectInfoTable[ProjectName]=OutputTable[[#This Row],[ProjectName]]),(ProjectInfoTable[ProjectName]=OutputTable[[#This Row],[ProjectName]])*ProjectInfoTable[NumberOfReplications]))</f>
        <v>1</v>
      </c>
      <c r="K10">
        <f t="array" ref="K10">IFERROR(AVERAGE(IF((OutputTable[GroupByKey]=OutputTable[[#This Row],[GroupByKey]]),(OutputTable[GroupByKey]=OutputTable[[#This Row],[GroupByKey]])*OutputTable[RecordedValue])),0)</f>
        <v>106</v>
      </c>
      <c r="L10">
        <f t="array" ref="L10">IFERROR(_xlfn.STDEV.S(IF((OutputTable[GroupByKey]=OutputTable[[#This Row],[GroupByKey]]),(OutputTable[GroupByKey]=OutputTable[[#This Row],[GroupByKey]])*OutputTable[RecordedValue])),0)</f>
        <v>0</v>
      </c>
      <c r="M10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>
        <f t="array" ref="O10">MIN(IF((OutputTable[GroupByKey]=OutputTable[[#This Row],[GroupByKey]]),(OutputTable[GroupByKey]=OutputTable[[#This Row],[GroupByKey]])*OutputTable[RecordedValue]))</f>
        <v>106</v>
      </c>
      <c r="P10">
        <f t="array" ref="P10">MAX(IF((OutputTable[GroupByKey]=OutputTable[[#This Row],[GroupByKey]]),(OutputTable[GroupByKey]=OutputTable[[#This Row],[GroupByKey]])*OutputTable[RecordedValue]))</f>
        <v>106</v>
      </c>
    </row>
    <row r="11" spans="1:16" x14ac:dyDescent="0.25">
      <c r="A11" t="s">
        <v>67</v>
      </c>
      <c r="B11" t="s">
        <v>69</v>
      </c>
      <c r="C11">
        <v>1</v>
      </c>
      <c r="D11" t="s">
        <v>118</v>
      </c>
      <c r="E11" t="s">
        <v>119</v>
      </c>
      <c r="F11" t="s">
        <v>94</v>
      </c>
      <c r="G11">
        <v>0.81652954821607504</v>
      </c>
      <c r="H11">
        <v>0</v>
      </c>
      <c r="I11" t="str">
        <f>OutputTable[[#This Row],[ProjectName]]&amp;OutputTable[[#This Row],[Name]]&amp;OutputTable[[#This Row],[Type]]&amp;OutputTable[[#This Row],[Source]]</f>
        <v>Unnamed ProjectSales.ScheduledUtilizationScheduled UtilizationResource</v>
      </c>
      <c r="J11">
        <f t="array" ref="J11">MAX(IF((ProjectInfoTable[ProjectName]=OutputTable[[#This Row],[ProjectName]]),(ProjectInfoTable[ProjectName]=OutputTable[[#This Row],[ProjectName]])*ProjectInfoTable[NumberOfReplications]))</f>
        <v>1</v>
      </c>
      <c r="K11">
        <f t="array" ref="K11">IFERROR(AVERAGE(IF((OutputTable[GroupByKey]=OutputTable[[#This Row],[GroupByKey]]),(OutputTable[GroupByKey]=OutputTable[[#This Row],[GroupByKey]])*OutputTable[RecordedValue])),0)</f>
        <v>0.81652954821607504</v>
      </c>
      <c r="L11">
        <f t="array" ref="L11">IFERROR(_xlfn.STDEV.S(IF((OutputTable[GroupByKey]=OutputTable[[#This Row],[GroupByKey]]),(OutputTable[GroupByKey]=OutputTable[[#This Row],[GroupByKey]])*OutputTable[RecordedValue])),0)</f>
        <v>0</v>
      </c>
      <c r="M1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>
        <f t="array" ref="O11">MIN(IF((OutputTable[GroupByKey]=OutputTable[[#This Row],[GroupByKey]]),(OutputTable[GroupByKey]=OutputTable[[#This Row],[GroupByKey]])*OutputTable[RecordedValue]))</f>
        <v>0.81652954821607504</v>
      </c>
      <c r="P11">
        <f t="array" ref="P11">MAX(IF((OutputTable[GroupByKey]=OutputTable[[#This Row],[GroupByKey]]),(OutputTable[GroupByKey]=OutputTable[[#This Row],[GroupByKey]])*OutputTable[RecordedValue]))</f>
        <v>0.81652954821607504</v>
      </c>
    </row>
    <row r="12" spans="1:16" x14ac:dyDescent="0.25">
      <c r="A12" t="s">
        <v>67</v>
      </c>
      <c r="B12" t="s">
        <v>69</v>
      </c>
      <c r="C12">
        <v>1</v>
      </c>
      <c r="D12" t="s">
        <v>120</v>
      </c>
      <c r="E12" t="s">
        <v>109</v>
      </c>
      <c r="F12" t="s">
        <v>121</v>
      </c>
      <c r="G12">
        <v>735</v>
      </c>
      <c r="H12">
        <v>0</v>
      </c>
      <c r="I12" t="str">
        <f>OutputTable[[#This Row],[ProjectName]]&amp;OutputTable[[#This Row],[Name]]&amp;OutputTable[[#This Row],[Type]]&amp;OutputTable[[#This Row],[Source]]</f>
        <v>Unnamed ProjectSystem.NumberOutNumber OutSystem</v>
      </c>
      <c r="J12">
        <f t="array" ref="J12">MAX(IF((ProjectInfoTable[ProjectName]=OutputTable[[#This Row],[ProjectName]]),(ProjectInfoTable[ProjectName]=OutputTable[[#This Row],[ProjectName]])*ProjectInfoTable[NumberOfReplications]))</f>
        <v>1</v>
      </c>
      <c r="K12">
        <f t="array" ref="K12">IFERROR(AVERAGE(IF((OutputTable[GroupByKey]=OutputTable[[#This Row],[GroupByKey]]),(OutputTable[GroupByKey]=OutputTable[[#This Row],[GroupByKey]])*OutputTable[RecordedValue])),0)</f>
        <v>735</v>
      </c>
      <c r="L12">
        <f t="array" ref="L12">IFERROR(_xlfn.STDEV.S(IF((OutputTable[GroupByKey]=OutputTable[[#This Row],[GroupByKey]]),(OutputTable[GroupByKey]=OutputTable[[#This Row],[GroupByKey]])*OutputTable[RecordedValue])),0)</f>
        <v>0</v>
      </c>
      <c r="M12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>
        <f t="array" ref="O12">MIN(IF((OutputTable[GroupByKey]=OutputTable[[#This Row],[GroupByKey]]),(OutputTable[GroupByKey]=OutputTable[[#This Row],[GroupByKey]])*OutputTable[RecordedValue]))</f>
        <v>735</v>
      </c>
      <c r="P12">
        <f t="array" ref="P12">MAX(IF((OutputTable[GroupByKey]=OutputTable[[#This Row],[GroupByKey]]),(OutputTable[GroupByKey]=OutputTable[[#This Row],[GroupByKey]])*OutputTable[RecordedValue]))</f>
        <v>735</v>
      </c>
    </row>
    <row r="13" spans="1:16" x14ac:dyDescent="0.25">
      <c r="A13" t="s">
        <v>67</v>
      </c>
      <c r="B13" t="s">
        <v>69</v>
      </c>
      <c r="C13">
        <v>1</v>
      </c>
      <c r="D13" t="s">
        <v>122</v>
      </c>
      <c r="E13" t="s">
        <v>117</v>
      </c>
      <c r="F13" t="s">
        <v>94</v>
      </c>
      <c r="G13">
        <v>132</v>
      </c>
      <c r="H13">
        <v>0</v>
      </c>
      <c r="I13" t="str">
        <f>OutputTable[[#This Row],[ProjectName]]&amp;OutputTable[[#This Row],[Name]]&amp;OutputTable[[#This Row],[Type]]&amp;OutputTable[[#This Row],[Source]]</f>
        <v>Unnamed ProjectTech 1.NumberSeizedTotal Number SeizedResource</v>
      </c>
      <c r="J13">
        <f t="array" ref="J13">MAX(IF((ProjectInfoTable[ProjectName]=OutputTable[[#This Row],[ProjectName]]),(ProjectInfoTable[ProjectName]=OutputTable[[#This Row],[ProjectName]])*ProjectInfoTable[NumberOfReplications]))</f>
        <v>1</v>
      </c>
      <c r="K13">
        <f t="array" ref="K13">IFERROR(AVERAGE(IF((OutputTable[GroupByKey]=OutputTable[[#This Row],[GroupByKey]]),(OutputTable[GroupByKey]=OutputTable[[#This Row],[GroupByKey]])*OutputTable[RecordedValue])),0)</f>
        <v>132</v>
      </c>
      <c r="L13">
        <f t="array" ref="L13">IFERROR(_xlfn.STDEV.S(IF((OutputTable[GroupByKey]=OutputTable[[#This Row],[GroupByKey]]),(OutputTable[GroupByKey]=OutputTable[[#This Row],[GroupByKey]])*OutputTable[RecordedValue])),0)</f>
        <v>0</v>
      </c>
      <c r="M13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">
        <f t="array" ref="O13">MIN(IF((OutputTable[GroupByKey]=OutputTable[[#This Row],[GroupByKey]]),(OutputTable[GroupByKey]=OutputTable[[#This Row],[GroupByKey]])*OutputTable[RecordedValue]))</f>
        <v>132</v>
      </c>
      <c r="P13">
        <f t="array" ref="P13">MAX(IF((OutputTable[GroupByKey]=OutputTable[[#This Row],[GroupByKey]]),(OutputTable[GroupByKey]=OutputTable[[#This Row],[GroupByKey]])*OutputTable[RecordedValue]))</f>
        <v>132</v>
      </c>
    </row>
    <row r="14" spans="1:16" x14ac:dyDescent="0.25">
      <c r="A14" t="s">
        <v>67</v>
      </c>
      <c r="B14" t="s">
        <v>69</v>
      </c>
      <c r="C14">
        <v>1</v>
      </c>
      <c r="D14" t="s">
        <v>123</v>
      </c>
      <c r="E14" t="s">
        <v>119</v>
      </c>
      <c r="F14" t="s">
        <v>94</v>
      </c>
      <c r="G14">
        <v>0.95668263177997903</v>
      </c>
      <c r="H14">
        <v>0</v>
      </c>
      <c r="I14" t="str">
        <f>OutputTable[[#This Row],[ProjectName]]&amp;OutputTable[[#This Row],[Name]]&amp;OutputTable[[#This Row],[Type]]&amp;OutputTable[[#This Row],[Source]]</f>
        <v>Unnamed ProjectTech 1.ScheduledUtilizationScheduled UtilizationResource</v>
      </c>
      <c r="J14">
        <f t="array" ref="J14">MAX(IF((ProjectInfoTable[ProjectName]=OutputTable[[#This Row],[ProjectName]]),(ProjectInfoTable[ProjectName]=OutputTable[[#This Row],[ProjectName]])*ProjectInfoTable[NumberOfReplications]))</f>
        <v>1</v>
      </c>
      <c r="K14">
        <f t="array" ref="K14">IFERROR(AVERAGE(IF((OutputTable[GroupByKey]=OutputTable[[#This Row],[GroupByKey]]),(OutputTable[GroupByKey]=OutputTable[[#This Row],[GroupByKey]])*OutputTable[RecordedValue])),0)</f>
        <v>0.95668263177997903</v>
      </c>
      <c r="L14">
        <f t="array" ref="L14">IFERROR(_xlfn.STDEV.S(IF((OutputTable[GroupByKey]=OutputTable[[#This Row],[GroupByKey]]),(OutputTable[GroupByKey]=OutputTable[[#This Row],[GroupByKey]])*OutputTable[RecordedValue])),0)</f>
        <v>0</v>
      </c>
      <c r="M14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">
        <f t="array" ref="O14">MIN(IF((OutputTable[GroupByKey]=OutputTable[[#This Row],[GroupByKey]]),(OutputTable[GroupByKey]=OutputTable[[#This Row],[GroupByKey]])*OutputTable[RecordedValue]))</f>
        <v>0.95668263177997903</v>
      </c>
      <c r="P14">
        <f t="array" ref="P14">MAX(IF((OutputTable[GroupByKey]=OutputTable[[#This Row],[GroupByKey]]),(OutputTable[GroupByKey]=OutputTable[[#This Row],[GroupByKey]])*OutputTable[RecordedValue]))</f>
        <v>0.95668263177997903</v>
      </c>
    </row>
    <row r="15" spans="1:16" x14ac:dyDescent="0.25">
      <c r="A15" t="s">
        <v>67</v>
      </c>
      <c r="B15" t="s">
        <v>69</v>
      </c>
      <c r="C15">
        <v>1</v>
      </c>
      <c r="D15" t="s">
        <v>124</v>
      </c>
      <c r="E15" t="s">
        <v>117</v>
      </c>
      <c r="F15" t="s">
        <v>94</v>
      </c>
      <c r="G15">
        <v>162</v>
      </c>
      <c r="H15">
        <v>0</v>
      </c>
      <c r="I15" t="str">
        <f>OutputTable[[#This Row],[ProjectName]]&amp;OutputTable[[#This Row],[Name]]&amp;OutputTable[[#This Row],[Type]]&amp;OutputTable[[#This Row],[Source]]</f>
        <v>Unnamed ProjectTech 2.NumberSeizedTotal Number SeizedResource</v>
      </c>
      <c r="J15">
        <f t="array" ref="J15">MAX(IF((ProjectInfoTable[ProjectName]=OutputTable[[#This Row],[ProjectName]]),(ProjectInfoTable[ProjectName]=OutputTable[[#This Row],[ProjectName]])*ProjectInfoTable[NumberOfReplications]))</f>
        <v>1</v>
      </c>
      <c r="K15">
        <f t="array" ref="K15">IFERROR(AVERAGE(IF((OutputTable[GroupByKey]=OutputTable[[#This Row],[GroupByKey]]),(OutputTable[GroupByKey]=OutputTable[[#This Row],[GroupByKey]])*OutputTable[RecordedValue])),0)</f>
        <v>162</v>
      </c>
      <c r="L15">
        <f t="array" ref="L15">IFERROR(_xlfn.STDEV.S(IF((OutputTable[GroupByKey]=OutputTable[[#This Row],[GroupByKey]]),(OutputTable[GroupByKey]=OutputTable[[#This Row],[GroupByKey]])*OutputTable[RecordedValue])),0)</f>
        <v>0</v>
      </c>
      <c r="M15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5">
        <f t="array" ref="O15">MIN(IF((OutputTable[GroupByKey]=OutputTable[[#This Row],[GroupByKey]]),(OutputTable[GroupByKey]=OutputTable[[#This Row],[GroupByKey]])*OutputTable[RecordedValue]))</f>
        <v>162</v>
      </c>
      <c r="P15">
        <f t="array" ref="P15">MAX(IF((OutputTable[GroupByKey]=OutputTable[[#This Row],[GroupByKey]]),(OutputTable[GroupByKey]=OutputTable[[#This Row],[GroupByKey]])*OutputTable[RecordedValue]))</f>
        <v>162</v>
      </c>
    </row>
    <row r="16" spans="1:16" x14ac:dyDescent="0.25">
      <c r="A16" t="s">
        <v>67</v>
      </c>
      <c r="B16" t="s">
        <v>69</v>
      </c>
      <c r="C16">
        <v>1</v>
      </c>
      <c r="D16" t="s">
        <v>125</v>
      </c>
      <c r="E16" t="s">
        <v>119</v>
      </c>
      <c r="F16" t="s">
        <v>94</v>
      </c>
      <c r="G16">
        <v>0.75884892869016196</v>
      </c>
      <c r="H16">
        <v>0</v>
      </c>
      <c r="I16" t="str">
        <f>OutputTable[[#This Row],[ProjectName]]&amp;OutputTable[[#This Row],[Name]]&amp;OutputTable[[#This Row],[Type]]&amp;OutputTable[[#This Row],[Source]]</f>
        <v>Unnamed ProjectTech 2.ScheduledUtilizationScheduled UtilizationResource</v>
      </c>
      <c r="J16">
        <f t="array" ref="J16">MAX(IF((ProjectInfoTable[ProjectName]=OutputTable[[#This Row],[ProjectName]]),(ProjectInfoTable[ProjectName]=OutputTable[[#This Row],[ProjectName]])*ProjectInfoTable[NumberOfReplications]))</f>
        <v>1</v>
      </c>
      <c r="K16">
        <f t="array" ref="K16">IFERROR(AVERAGE(IF((OutputTable[GroupByKey]=OutputTable[[#This Row],[GroupByKey]]),(OutputTable[GroupByKey]=OutputTable[[#This Row],[GroupByKey]])*OutputTable[RecordedValue])),0)</f>
        <v>0.75884892869016196</v>
      </c>
      <c r="L16">
        <f t="array" ref="L16">IFERROR(_xlfn.STDEV.S(IF((OutputTable[GroupByKey]=OutputTable[[#This Row],[GroupByKey]]),(OutputTable[GroupByKey]=OutputTable[[#This Row],[GroupByKey]])*OutputTable[RecordedValue])),0)</f>
        <v>0</v>
      </c>
      <c r="M16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6">
        <f t="array" ref="O16">MIN(IF((OutputTable[GroupByKey]=OutputTable[[#This Row],[GroupByKey]]),(OutputTable[GroupByKey]=OutputTable[[#This Row],[GroupByKey]])*OutputTable[RecordedValue]))</f>
        <v>0.75884892869016196</v>
      </c>
      <c r="P16">
        <f t="array" ref="P16">MAX(IF((OutputTable[GroupByKey]=OutputTable[[#This Row],[GroupByKey]]),(OutputTable[GroupByKey]=OutputTable[[#This Row],[GroupByKey]])*OutputTable[RecordedValue]))</f>
        <v>0.75884892869016196</v>
      </c>
    </row>
    <row r="17" spans="1:16" x14ac:dyDescent="0.25">
      <c r="A17" t="s">
        <v>67</v>
      </c>
      <c r="B17" t="s">
        <v>69</v>
      </c>
      <c r="C17">
        <v>1</v>
      </c>
      <c r="D17" t="s">
        <v>126</v>
      </c>
      <c r="E17" t="s">
        <v>117</v>
      </c>
      <c r="F17" t="s">
        <v>94</v>
      </c>
      <c r="G17">
        <v>198</v>
      </c>
      <c r="H17">
        <v>0</v>
      </c>
      <c r="I17" t="str">
        <f>OutputTable[[#This Row],[ProjectName]]&amp;OutputTable[[#This Row],[Name]]&amp;OutputTable[[#This Row],[Type]]&amp;OutputTable[[#This Row],[Source]]</f>
        <v>Unnamed ProjectTech 3.NumberSeizedTotal Number SeizedResource</v>
      </c>
      <c r="J17">
        <f t="array" ref="J17">MAX(IF((ProjectInfoTable[ProjectName]=OutputTable[[#This Row],[ProjectName]]),(ProjectInfoTable[ProjectName]=OutputTable[[#This Row],[ProjectName]])*ProjectInfoTable[NumberOfReplications]))</f>
        <v>1</v>
      </c>
      <c r="K17">
        <f t="array" ref="K17">IFERROR(AVERAGE(IF((OutputTable[GroupByKey]=OutputTable[[#This Row],[GroupByKey]]),(OutputTable[GroupByKey]=OutputTable[[#This Row],[GroupByKey]])*OutputTable[RecordedValue])),0)</f>
        <v>198</v>
      </c>
      <c r="L17">
        <f t="array" ref="L17">IFERROR(_xlfn.STDEV.S(IF((OutputTable[GroupByKey]=OutputTable[[#This Row],[GroupByKey]]),(OutputTable[GroupByKey]=OutputTable[[#This Row],[GroupByKey]])*OutputTable[RecordedValue])),0)</f>
        <v>0</v>
      </c>
      <c r="M17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7">
        <f t="array" ref="O17">MIN(IF((OutputTable[GroupByKey]=OutputTable[[#This Row],[GroupByKey]]),(OutputTable[GroupByKey]=OutputTable[[#This Row],[GroupByKey]])*OutputTable[RecordedValue]))</f>
        <v>198</v>
      </c>
      <c r="P17">
        <f t="array" ref="P17">MAX(IF((OutputTable[GroupByKey]=OutputTable[[#This Row],[GroupByKey]]),(OutputTable[GroupByKey]=OutputTable[[#This Row],[GroupByKey]])*OutputTable[RecordedValue]))</f>
        <v>198</v>
      </c>
    </row>
    <row r="18" spans="1:16" x14ac:dyDescent="0.25">
      <c r="A18" t="s">
        <v>67</v>
      </c>
      <c r="B18" t="s">
        <v>69</v>
      </c>
      <c r="C18">
        <v>1</v>
      </c>
      <c r="D18" t="s">
        <v>127</v>
      </c>
      <c r="E18" t="s">
        <v>119</v>
      </c>
      <c r="F18" t="s">
        <v>94</v>
      </c>
      <c r="G18">
        <v>0.88675176100051301</v>
      </c>
      <c r="H18">
        <v>0</v>
      </c>
      <c r="I18" t="str">
        <f>OutputTable[[#This Row],[ProjectName]]&amp;OutputTable[[#This Row],[Name]]&amp;OutputTable[[#This Row],[Type]]&amp;OutputTable[[#This Row],[Source]]</f>
        <v>Unnamed ProjectTech 3.ScheduledUtilizationScheduled UtilizationResource</v>
      </c>
      <c r="J18">
        <f t="array" ref="J18">MAX(IF((ProjectInfoTable[ProjectName]=OutputTable[[#This Row],[ProjectName]]),(ProjectInfoTable[ProjectName]=OutputTable[[#This Row],[ProjectName]])*ProjectInfoTable[NumberOfReplications]))</f>
        <v>1</v>
      </c>
      <c r="K18">
        <f t="array" ref="K18">IFERROR(AVERAGE(IF((OutputTable[GroupByKey]=OutputTable[[#This Row],[GroupByKey]]),(OutputTable[GroupByKey]=OutputTable[[#This Row],[GroupByKey]])*OutputTable[RecordedValue])),0)</f>
        <v>0.88675176100051301</v>
      </c>
      <c r="L18">
        <f t="array" ref="L18">IFERROR(_xlfn.STDEV.S(IF((OutputTable[GroupByKey]=OutputTable[[#This Row],[GroupByKey]]),(OutputTable[GroupByKey]=OutputTable[[#This Row],[GroupByKey]])*OutputTable[RecordedValue])),0)</f>
        <v>0</v>
      </c>
      <c r="M18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8">
        <f t="array" ref="O18">MIN(IF((OutputTable[GroupByKey]=OutputTable[[#This Row],[GroupByKey]]),(OutputTable[GroupByKey]=OutputTable[[#This Row],[GroupByKey]])*OutputTable[RecordedValue]))</f>
        <v>0.88675176100051301</v>
      </c>
      <c r="P18">
        <f t="array" ref="P18">MAX(IF((OutputTable[GroupByKey]=OutputTable[[#This Row],[GroupByKey]]),(OutputTable[GroupByKey]=OutputTable[[#This Row],[GroupByKey]])*OutputTable[RecordedValue]))</f>
        <v>0.88675176100051301</v>
      </c>
    </row>
    <row r="19" spans="1:16" x14ac:dyDescent="0.25">
      <c r="A19" t="s">
        <v>67</v>
      </c>
      <c r="B19" t="s">
        <v>69</v>
      </c>
      <c r="C19">
        <v>1</v>
      </c>
      <c r="D19" t="s">
        <v>128</v>
      </c>
      <c r="E19" t="s">
        <v>107</v>
      </c>
      <c r="F19" t="s">
        <v>72</v>
      </c>
      <c r="G19">
        <v>492</v>
      </c>
      <c r="H19">
        <v>0</v>
      </c>
      <c r="I19" t="str">
        <f>OutputTable[[#This Row],[ProjectName]]&amp;OutputTable[[#This Row],[Name]]&amp;OutputTable[[#This Row],[Type]]&amp;OutputTable[[#This Row],[Source]]</f>
        <v>Unnamed ProjectTech Call.NumberInNumber InEntity</v>
      </c>
      <c r="J19">
        <f t="array" ref="J19">MAX(IF((ProjectInfoTable[ProjectName]=OutputTable[[#This Row],[ProjectName]]),(ProjectInfoTable[ProjectName]=OutputTable[[#This Row],[ProjectName]])*ProjectInfoTable[NumberOfReplications]))</f>
        <v>1</v>
      </c>
      <c r="K19">
        <f t="array" ref="K19">IFERROR(AVERAGE(IF((OutputTable[GroupByKey]=OutputTable[[#This Row],[GroupByKey]]),(OutputTable[GroupByKey]=OutputTable[[#This Row],[GroupByKey]])*OutputTable[RecordedValue])),0)</f>
        <v>492</v>
      </c>
      <c r="L19">
        <f t="array" ref="L19">IFERROR(_xlfn.STDEV.S(IF((OutputTable[GroupByKey]=OutputTable[[#This Row],[GroupByKey]]),(OutputTable[GroupByKey]=OutputTable[[#This Row],[GroupByKey]])*OutputTable[RecordedValue])),0)</f>
        <v>0</v>
      </c>
      <c r="M19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9">
        <f t="array" ref="O19">MIN(IF((OutputTable[GroupByKey]=OutputTable[[#This Row],[GroupByKey]]),(OutputTable[GroupByKey]=OutputTable[[#This Row],[GroupByKey]])*OutputTable[RecordedValue]))</f>
        <v>492</v>
      </c>
      <c r="P19">
        <f t="array" ref="P19">MAX(IF((OutputTable[GroupByKey]=OutputTable[[#This Row],[GroupByKey]]),(OutputTable[GroupByKey]=OutputTable[[#This Row],[GroupByKey]])*OutputTable[RecordedValue]))</f>
        <v>492</v>
      </c>
    </row>
    <row r="20" spans="1:16" x14ac:dyDescent="0.25">
      <c r="A20" t="s">
        <v>67</v>
      </c>
      <c r="B20" t="s">
        <v>69</v>
      </c>
      <c r="C20">
        <v>1</v>
      </c>
      <c r="D20" t="s">
        <v>129</v>
      </c>
      <c r="E20" t="s">
        <v>109</v>
      </c>
      <c r="F20" t="s">
        <v>72</v>
      </c>
      <c r="G20">
        <v>492</v>
      </c>
      <c r="H20">
        <v>0</v>
      </c>
      <c r="I20" t="str">
        <f>OutputTable[[#This Row],[ProjectName]]&amp;OutputTable[[#This Row],[Name]]&amp;OutputTable[[#This Row],[Type]]&amp;OutputTable[[#This Row],[Source]]</f>
        <v>Unnamed ProjectTech Call.NumberOutNumber OutEntity</v>
      </c>
      <c r="J20">
        <f t="array" ref="J20">MAX(IF((ProjectInfoTable[ProjectName]=OutputTable[[#This Row],[ProjectName]]),(ProjectInfoTable[ProjectName]=OutputTable[[#This Row],[ProjectName]])*ProjectInfoTable[NumberOfReplications]))</f>
        <v>1</v>
      </c>
      <c r="K20">
        <f t="array" ref="K20">IFERROR(AVERAGE(IF((OutputTable[GroupByKey]=OutputTable[[#This Row],[GroupByKey]]),(OutputTable[GroupByKey]=OutputTable[[#This Row],[GroupByKey]])*OutputTable[RecordedValue])),0)</f>
        <v>492</v>
      </c>
      <c r="L20">
        <f t="array" ref="L20">IFERROR(_xlfn.STDEV.S(IF((OutputTable[GroupByKey]=OutputTable[[#This Row],[GroupByKey]]),(OutputTable[GroupByKey]=OutputTable[[#This Row],[GroupByKey]])*OutputTable[RecordedValue])),0)</f>
        <v>0</v>
      </c>
      <c r="M20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0">
        <f t="array" ref="O20">MIN(IF((OutputTable[GroupByKey]=OutputTable[[#This Row],[GroupByKey]]),(OutputTable[GroupByKey]=OutputTable[[#This Row],[GroupByKey]])*OutputTable[RecordedValue]))</f>
        <v>492</v>
      </c>
      <c r="P20">
        <f t="array" ref="P20">MAX(IF((OutputTable[GroupByKey]=OutputTable[[#This Row],[GroupByKey]]),(OutputTable[GroupByKey]=OutputTable[[#This Row],[GroupByKey]])*OutputTable[RecordedValue]))</f>
        <v>492</v>
      </c>
    </row>
    <row r="21" spans="1:16" x14ac:dyDescent="0.25">
      <c r="A21" t="s">
        <v>67</v>
      </c>
      <c r="B21" t="s">
        <v>69</v>
      </c>
      <c r="C21">
        <v>1</v>
      </c>
      <c r="D21" t="s">
        <v>130</v>
      </c>
      <c r="E21" t="s">
        <v>117</v>
      </c>
      <c r="F21" t="s">
        <v>94</v>
      </c>
      <c r="G21">
        <v>643</v>
      </c>
      <c r="H21">
        <v>0</v>
      </c>
      <c r="I21" t="str">
        <f>OutputTable[[#This Row],[ProjectName]]&amp;OutputTable[[#This Row],[Name]]&amp;OutputTable[[#This Row],[Type]]&amp;OutputTable[[#This Row],[Source]]</f>
        <v>Unnamed ProjectTrunk Line.NumberSeizedTotal Number SeizedResource</v>
      </c>
      <c r="J21">
        <f t="array" ref="J21">MAX(IF((ProjectInfoTable[ProjectName]=OutputTable[[#This Row],[ProjectName]]),(ProjectInfoTable[ProjectName]=OutputTable[[#This Row],[ProjectName]])*ProjectInfoTable[NumberOfReplications]))</f>
        <v>1</v>
      </c>
      <c r="K21">
        <f t="array" ref="K21">IFERROR(AVERAGE(IF((OutputTable[GroupByKey]=OutputTable[[#This Row],[GroupByKey]]),(OutputTable[GroupByKey]=OutputTable[[#This Row],[GroupByKey]])*OutputTable[RecordedValue])),0)</f>
        <v>643</v>
      </c>
      <c r="L21">
        <f t="array" ref="L21">IFERROR(_xlfn.STDEV.S(IF((OutputTable[GroupByKey]=OutputTable[[#This Row],[GroupByKey]]),(OutputTable[GroupByKey]=OutputTable[[#This Row],[GroupByKey]])*OutputTable[RecordedValue])),0)</f>
        <v>0</v>
      </c>
      <c r="M2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1">
        <f t="array" ref="O21">MIN(IF((OutputTable[GroupByKey]=OutputTable[[#This Row],[GroupByKey]]),(OutputTable[GroupByKey]=OutputTable[[#This Row],[GroupByKey]])*OutputTable[RecordedValue]))</f>
        <v>643</v>
      </c>
      <c r="P21">
        <f t="array" ref="P21">MAX(IF((OutputTable[GroupByKey]=OutputTable[[#This Row],[GroupByKey]]),(OutputTable[GroupByKey]=OutputTable[[#This Row],[GroupByKey]])*OutputTable[RecordedValue]))</f>
        <v>643</v>
      </c>
    </row>
    <row r="22" spans="1:16" x14ac:dyDescent="0.25">
      <c r="A22" t="s">
        <v>67</v>
      </c>
      <c r="B22" t="s">
        <v>69</v>
      </c>
      <c r="C22">
        <v>1</v>
      </c>
      <c r="D22" t="s">
        <v>131</v>
      </c>
      <c r="E22" t="s">
        <v>119</v>
      </c>
      <c r="F22" t="s">
        <v>94</v>
      </c>
      <c r="G22">
        <v>0.77552450288652297</v>
      </c>
      <c r="H22">
        <v>0</v>
      </c>
      <c r="I22" t="str">
        <f>OutputTable[[#This Row],[ProjectName]]&amp;OutputTable[[#This Row],[Name]]&amp;OutputTable[[#This Row],[Type]]&amp;OutputTable[[#This Row],[Source]]</f>
        <v>Unnamed ProjectTrunk Line.ScheduledUtilizationScheduled UtilizationResource</v>
      </c>
      <c r="J22">
        <f t="array" ref="J22">MAX(IF((ProjectInfoTable[ProjectName]=OutputTable[[#This Row],[ProjectName]]),(ProjectInfoTable[ProjectName]=OutputTable[[#This Row],[ProjectName]])*ProjectInfoTable[NumberOfReplications]))</f>
        <v>1</v>
      </c>
      <c r="K22">
        <f t="array" ref="K22">IFERROR(AVERAGE(IF((OutputTable[GroupByKey]=OutputTable[[#This Row],[GroupByKey]]),(OutputTable[GroupByKey]=OutputTable[[#This Row],[GroupByKey]])*OutputTable[RecordedValue])),0)</f>
        <v>0.77552450288652297</v>
      </c>
      <c r="L22">
        <f t="array" ref="L22">IFERROR(_xlfn.STDEV.S(IF((OutputTable[GroupByKey]=OutputTable[[#This Row],[GroupByKey]]),(OutputTable[GroupByKey]=OutputTable[[#This Row],[GroupByKey]])*OutputTable[RecordedValue])),0)</f>
        <v>0</v>
      </c>
      <c r="M22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2">
        <f t="array" ref="O22">MIN(IF((OutputTable[GroupByKey]=OutputTable[[#This Row],[GroupByKey]]),(OutputTable[GroupByKey]=OutputTable[[#This Row],[GroupByKey]])*OutputTable[RecordedValue]))</f>
        <v>0.77552450288652297</v>
      </c>
      <c r="P22">
        <f t="array" ref="P22">MAX(IF((OutputTable[GroupByKey]=OutputTable[[#This Row],[GroupByKey]]),(OutputTable[GroupByKey]=OutputTable[[#This Row],[GroupByKey]])*OutputTable[RecordedValue]))</f>
        <v>0.77552450288652297</v>
      </c>
    </row>
  </sheetData>
  <phoneticPr fontId="2" type="noConversion"/>
  <conditionalFormatting sqref="I2:P22">
    <cfRule type="expression" dxfId="2" priority="2">
      <formula>MOD(ROW(),2)=0</formula>
    </cfRule>
  </conditionalFormatting>
  <conditionalFormatting sqref="N2:N22">
    <cfRule type="expression" dxfId="1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4.28515625" bestFit="1" customWidth="1"/>
    <col min="12" max="12" width="30" bestFit="1" customWidth="1"/>
    <col min="13" max="13" width="31.140625" bestFit="1" customWidth="1"/>
    <col min="14" max="14" width="17.28515625" bestFit="1" customWidth="1"/>
    <col min="15" max="15" width="29" bestFit="1" customWidth="1"/>
    <col min="16" max="16" width="30.140625" bestFit="1" customWidth="1"/>
    <col min="17" max="17" width="29.28515625" bestFit="1" customWidth="1"/>
    <col min="18" max="18" width="28.28515625" bestFit="1" customWidth="1"/>
    <col min="19" max="19" width="26.28515625" bestFit="1" customWidth="1"/>
    <col min="20" max="20" width="29.85546875" bestFit="1" customWidth="1"/>
    <col min="21" max="21" width="31.85546875" bestFit="1" customWidth="1"/>
    <col min="22" max="22" width="32.140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K1:P2 K17:P17 Q45:V45 K31:V31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Andi Dinata</cp:lastModifiedBy>
  <cp:lastPrinted>2022-03-22T10:33:10Z</cp:lastPrinted>
  <dcterms:created xsi:type="dcterms:W3CDTF">2020-06-29T21:30:31Z</dcterms:created>
  <dcterms:modified xsi:type="dcterms:W3CDTF">2022-10-30T00:12:22Z</dcterms:modified>
</cp:coreProperties>
</file>